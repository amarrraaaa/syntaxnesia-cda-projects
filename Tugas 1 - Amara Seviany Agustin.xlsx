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ata Transaksi" sheetId="1" r:id="rId5"/>
    <sheet state="visible" name="2. Data Validation" sheetId="2" r:id="rId6"/>
    <sheet state="visible" name="3. Data Cleaning" sheetId="3" r:id="rId7"/>
    <sheet state="visible" name="4. Data Integgration" sheetId="4" r:id="rId8"/>
    <sheet state="visible" name="5. Feature Engineering" sheetId="5" r:id="rId9"/>
    <sheet state="visible" name="Pivot Table 1" sheetId="6" r:id="rId10"/>
    <sheet state="visible" name="Master Layanan PLN" sheetId="7" r:id="rId11"/>
    <sheet state="visible" name="Master_Pelanggan" sheetId="8" r:id="rId12"/>
  </sheets>
  <definedNames>
    <definedName hidden="1" localSheetId="1" name="_xlnm._FilterDatabase">'2. Data Validation'!$A$1:$G$1000</definedName>
    <definedName hidden="1" localSheetId="2" name="_xlnm._FilterDatabase">'3. Data Cleaning'!$A$1:$G$1000</definedName>
    <definedName hidden="1" localSheetId="3" name="_xlnm._FilterDatabase">'4. Data Integgration'!$A$1:$K$1000</definedName>
    <definedName hidden="1" localSheetId="4" name="_xlnm._FilterDatabase">'5. Feature Engineering'!$A$1:$L$121</definedName>
  </definedNames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<sst xmlns="http://schemas.openxmlformats.org/spreadsheetml/2006/main" count="7284" uniqueCount="364">
  <si>
    <t>ID_Transaksi</t>
  </si>
  <si>
    <t>Tanggal</t>
  </si>
  <si>
    <t>ID_Pelanggan</t>
  </si>
  <si>
    <t>Nama_Pelanggan</t>
  </si>
  <si>
    <t>Segmen_Pelanggan</t>
  </si>
  <si>
    <t>ID_Layanan</t>
  </si>
  <si>
    <t>Nama_Layanan</t>
  </si>
  <si>
    <t>Area</t>
  </si>
  <si>
    <t>Tarif_per_KWH</t>
  </si>
  <si>
    <t>KWh_Terpakai</t>
  </si>
  <si>
    <t>Status_Bayar</t>
  </si>
  <si>
    <t>TRX0001</t>
  </si>
  <si>
    <t>TRX0053</t>
  </si>
  <si>
    <t>TRX0087</t>
  </si>
  <si>
    <t>PLN-4598</t>
  </si>
  <si>
    <t>B1-450</t>
  </si>
  <si>
    <t>PLN-9029</t>
  </si>
  <si>
    <t>R1-900</t>
  </si>
  <si>
    <t>Lunas</t>
  </si>
  <si>
    <t>Bogor</t>
  </si>
  <si>
    <t>TRX0002</t>
  </si>
  <si>
    <t>PLN-8438</t>
  </si>
  <si>
    <t>PLN-6313</t>
  </si>
  <si>
    <t>Jakarta</t>
  </si>
  <si>
    <t>TRX0003</t>
  </si>
  <si>
    <t>Average</t>
  </si>
  <si>
    <t>PLN-1916</t>
  </si>
  <si>
    <t>Tangerang</t>
  </si>
  <si>
    <t>TRX0004</t>
  </si>
  <si>
    <t>PLN-4752</t>
  </si>
  <si>
    <t>R1-450</t>
  </si>
  <si>
    <t>jkt</t>
  </si>
  <si>
    <t>TRX0005</t>
  </si>
  <si>
    <t>R1-1300</t>
  </si>
  <si>
    <t>PLN-1525</t>
  </si>
  <si>
    <t>Bekasi</t>
  </si>
  <si>
    <t>TRX0006</t>
  </si>
  <si>
    <t>PLN-6168</t>
  </si>
  <si>
    <t>B1-1300</t>
  </si>
  <si>
    <t>TRX0007</t>
  </si>
  <si>
    <t>PLN-7572</t>
  </si>
  <si>
    <t>TRX0008</t>
  </si>
  <si>
    <t>PLN-5386</t>
  </si>
  <si>
    <t>TRX0009</t>
  </si>
  <si>
    <t>TRX0010</t>
  </si>
  <si>
    <t>PLN-9494</t>
  </si>
  <si>
    <t>Tunggakan</t>
  </si>
  <si>
    <t>TRX0011</t>
  </si>
  <si>
    <t>TRX0095</t>
  </si>
  <si>
    <t>PLN-1132</t>
  </si>
  <si>
    <t>PLN-1498</t>
  </si>
  <si>
    <t>B1-900</t>
  </si>
  <si>
    <t>TRX0012</t>
  </si>
  <si>
    <t>Min</t>
  </si>
  <si>
    <t>PLN-2321</t>
  </si>
  <si>
    <t>Depok</t>
  </si>
  <si>
    <t>TRX0013</t>
  </si>
  <si>
    <t>PLN-6851</t>
  </si>
  <si>
    <t>TRX0014</t>
  </si>
  <si>
    <t>TRX0015</t>
  </si>
  <si>
    <t>PLN-3184</t>
  </si>
  <si>
    <t>TRX0016</t>
  </si>
  <si>
    <t>PLN-1011</t>
  </si>
  <si>
    <t>TRX0017</t>
  </si>
  <si>
    <t>PLN-5473</t>
  </si>
  <si>
    <t>TRX0038</t>
  </si>
  <si>
    <t>PLN-7965</t>
  </si>
  <si>
    <t>TRX0018</t>
  </si>
  <si>
    <t>Max</t>
  </si>
  <si>
    <t>PLN-7941</t>
  </si>
  <si>
    <t>TRX0019</t>
  </si>
  <si>
    <t>PLN-9733</t>
  </si>
  <si>
    <t>TRX0020</t>
  </si>
  <si>
    <t>PLN-4266</t>
  </si>
  <si>
    <t>TRX0066</t>
  </si>
  <si>
    <t>PLN-3127</t>
  </si>
  <si>
    <t>TRX0021</t>
  </si>
  <si>
    <t>Tngrang</t>
  </si>
  <si>
    <t>PLN-2965</t>
  </si>
  <si>
    <t>TRX0022</t>
  </si>
  <si>
    <t>PLN-4841</t>
  </si>
  <si>
    <t>Sel Kosong</t>
  </si>
  <si>
    <t>BOGOR</t>
  </si>
  <si>
    <t>TRX0023</t>
  </si>
  <si>
    <t>PLN-7731</t>
  </si>
  <si>
    <t>TRX0024</t>
  </si>
  <si>
    <t>PLN-3918</t>
  </si>
  <si>
    <t>TRX0025</t>
  </si>
  <si>
    <t>PLN-6481</t>
  </si>
  <si>
    <t>TRX0026</t>
  </si>
  <si>
    <t>PLN-4683</t>
  </si>
  <si>
    <t>TRX0027</t>
  </si>
  <si>
    <t>PLN-1659</t>
  </si>
  <si>
    <t>TRX0028</t>
  </si>
  <si>
    <t>PLN-3304</t>
  </si>
  <si>
    <t>TRX0085</t>
  </si>
  <si>
    <t>PLN-3522</t>
  </si>
  <si>
    <t>TRX0029</t>
  </si>
  <si>
    <t>PLN-1785</t>
  </si>
  <si>
    <t>TRX0030</t>
  </si>
  <si>
    <t>PLN-8800</t>
  </si>
  <si>
    <t>Duplicate Data</t>
  </si>
  <si>
    <t>TRX0031</t>
  </si>
  <si>
    <t>TRX0032</t>
  </si>
  <si>
    <t>PLN-3323</t>
  </si>
  <si>
    <t>PLN-3183</t>
  </si>
  <si>
    <t>Inkonsistensi Format</t>
  </si>
  <si>
    <t>TRX0033</t>
  </si>
  <si>
    <t>TRX0090</t>
  </si>
  <si>
    <t>PLN-1903</t>
  </si>
  <si>
    <t>PLN-6330</t>
  </si>
  <si>
    <t>TRX0034</t>
  </si>
  <si>
    <t>PLN-1934</t>
  </si>
  <si>
    <t>TRX0035</t>
  </si>
  <si>
    <t>PLN-7690</t>
  </si>
  <si>
    <t>TRX0036</t>
  </si>
  <si>
    <t>PLN-9491</t>
  </si>
  <si>
    <t>TRX0037</t>
  </si>
  <si>
    <t>PLN-1411</t>
  </si>
  <si>
    <t>TRX0039</t>
  </si>
  <si>
    <t>PLN-3736</t>
  </si>
  <si>
    <t>TRX0040</t>
  </si>
  <si>
    <t>PLN-5586</t>
  </si>
  <si>
    <t>TRX0041</t>
  </si>
  <si>
    <t>PLN-2325</t>
  </si>
  <si>
    <t>TRX0042</t>
  </si>
  <si>
    <t>PLN-4264</t>
  </si>
  <si>
    <t>TRX0043</t>
  </si>
  <si>
    <t>TRX0044</t>
  </si>
  <si>
    <t>PLN-2287</t>
  </si>
  <si>
    <t>TRX0045</t>
  </si>
  <si>
    <t>PLN-4905</t>
  </si>
  <si>
    <t>TRX0046</t>
  </si>
  <si>
    <t>TRX0096</t>
  </si>
  <si>
    <t>PLN-2019</t>
  </si>
  <si>
    <t>PLN-5900</t>
  </si>
  <si>
    <t>TRX0047</t>
  </si>
  <si>
    <t>PLN-3631</t>
  </si>
  <si>
    <t>MEDIAN</t>
  </si>
  <si>
    <t>Bisnis 900 VA</t>
  </si>
  <si>
    <t>TRX0048</t>
  </si>
  <si>
    <t>PLN-1335</t>
  </si>
  <si>
    <t>TRX0049</t>
  </si>
  <si>
    <t>PLN-9023</t>
  </si>
  <si>
    <t>TRX0050</t>
  </si>
  <si>
    <t>PLN-3158</t>
  </si>
  <si>
    <t>TRX0051</t>
  </si>
  <si>
    <t>PLN-4197</t>
  </si>
  <si>
    <t>TRX0052</t>
  </si>
  <si>
    <t>PLN-2194</t>
  </si>
  <si>
    <t>Rumah Tangga 1300 VA</t>
  </si>
  <si>
    <t>TRX0054</t>
  </si>
  <si>
    <t>PLN-4148</t>
  </si>
  <si>
    <t>TRX0055</t>
  </si>
  <si>
    <t>PLN-1200</t>
  </si>
  <si>
    <t>TRX0056</t>
  </si>
  <si>
    <t>PLN-8547</t>
  </si>
  <si>
    <t>TRX0057</t>
  </si>
  <si>
    <t>PLN-7577</t>
  </si>
  <si>
    <t>Rumah Tangga 900 VA</t>
  </si>
  <si>
    <t>TRX0058</t>
  </si>
  <si>
    <t>PLN-8935</t>
  </si>
  <si>
    <t>TRX0059</t>
  </si>
  <si>
    <t>PLN-1647</t>
  </si>
  <si>
    <t>TRX0060</t>
  </si>
  <si>
    <t>PLN-4573</t>
  </si>
  <si>
    <t>TRX0061</t>
  </si>
  <si>
    <t>PLN-8745</t>
  </si>
  <si>
    <t>TRX0062</t>
  </si>
  <si>
    <t>PLN-9572</t>
  </si>
  <si>
    <t>TRX0063</t>
  </si>
  <si>
    <t>TRX0064</t>
  </si>
  <si>
    <t>PLN-5591</t>
  </si>
  <si>
    <t>TRX0065</t>
  </si>
  <si>
    <t>PLN-4966</t>
  </si>
  <si>
    <t>TRX0067</t>
  </si>
  <si>
    <t>PLN-8072</t>
  </si>
  <si>
    <t>Bisnis 450 VA</t>
  </si>
  <si>
    <t>TRX0068</t>
  </si>
  <si>
    <t>PLN-8692</t>
  </si>
  <si>
    <t>TRX0069</t>
  </si>
  <si>
    <t>PLN-6582</t>
  </si>
  <si>
    <t>TRX0070</t>
  </si>
  <si>
    <t>PLN-8276</t>
  </si>
  <si>
    <t>TRX0071</t>
  </si>
  <si>
    <t>PLN-5497</t>
  </si>
  <si>
    <t>TRX0072</t>
  </si>
  <si>
    <t>TRX0073</t>
  </si>
  <si>
    <t>PLN-2693</t>
  </si>
  <si>
    <t>TRX0074</t>
  </si>
  <si>
    <t>PLN-5735</t>
  </si>
  <si>
    <t>TRX0075</t>
  </si>
  <si>
    <t>PLN-3561</t>
  </si>
  <si>
    <t>TRX0076</t>
  </si>
  <si>
    <t>TRX0077</t>
  </si>
  <si>
    <t>PLN-1442</t>
  </si>
  <si>
    <t>PLN-4428</t>
  </si>
  <si>
    <t>TRX0078</t>
  </si>
  <si>
    <t>PLN-1951</t>
  </si>
  <si>
    <t>TRX0079</t>
  </si>
  <si>
    <t>PLN-4113</t>
  </si>
  <si>
    <t>TRX0080</t>
  </si>
  <si>
    <t>PLN-6178</t>
  </si>
  <si>
    <t>TRX0081</t>
  </si>
  <si>
    <t>PLN-3298</t>
  </si>
  <si>
    <t>TRX0082</t>
  </si>
  <si>
    <t>TRX0083</t>
  </si>
  <si>
    <t>PLN-7607</t>
  </si>
  <si>
    <t>TRX0084</t>
  </si>
  <si>
    <t>PLN-4447</t>
  </si>
  <si>
    <t>Bisnis 1300 VA</t>
  </si>
  <si>
    <t>TRX0086</t>
  </si>
  <si>
    <t>PLN-4475</t>
  </si>
  <si>
    <t>TRX0088</t>
  </si>
  <si>
    <t>PLN-1718</t>
  </si>
  <si>
    <t>TRX0089</t>
  </si>
  <si>
    <t xml:space="preserve"> Bekasi</t>
  </si>
  <si>
    <t>TRX0107</t>
  </si>
  <si>
    <t>TRX0091</t>
  </si>
  <si>
    <t>TRX0092</t>
  </si>
  <si>
    <t>PLN-9118</t>
  </si>
  <si>
    <t>TRX0119</t>
  </si>
  <si>
    <t>PLN-8114</t>
  </si>
  <si>
    <t>TRX0093</t>
  </si>
  <si>
    <t>PLN-6143</t>
  </si>
  <si>
    <t>TRX0094</t>
  </si>
  <si>
    <t xml:space="preserve">Depok </t>
  </si>
  <si>
    <t>N/A</t>
  </si>
  <si>
    <t>TRX0117</t>
  </si>
  <si>
    <t>TRX0097</t>
  </si>
  <si>
    <t>PLN-1886</t>
  </si>
  <si>
    <t>Grand Total</t>
  </si>
  <si>
    <t>TRX0108</t>
  </si>
  <si>
    <t>TRX0098</t>
  </si>
  <si>
    <t>PLN-8452</t>
  </si>
  <si>
    <t>TRX0099</t>
  </si>
  <si>
    <t>TRX0100</t>
  </si>
  <si>
    <t>PLN-3297</t>
  </si>
  <si>
    <t>TRX0101</t>
  </si>
  <si>
    <t>PLN-6218</t>
  </si>
  <si>
    <t>TRX0102</t>
  </si>
  <si>
    <t>PLN-9020</t>
  </si>
  <si>
    <t>TRX0103</t>
  </si>
  <si>
    <t>PLN-6944</t>
  </si>
  <si>
    <t>TRX0104</t>
  </si>
  <si>
    <t>TRX0118</t>
  </si>
  <si>
    <t>PLN-4601</t>
  </si>
  <si>
    <t>PLN-6338</t>
  </si>
  <si>
    <t>TRX0105</t>
  </si>
  <si>
    <t>TRX0120</t>
  </si>
  <si>
    <t>PLN-5629</t>
  </si>
  <si>
    <t>PLN-9028</t>
  </si>
  <si>
    <t>TRX0106</t>
  </si>
  <si>
    <t>PLN-7815</t>
  </si>
  <si>
    <t>TRX0109</t>
  </si>
  <si>
    <t>TRX0114</t>
  </si>
  <si>
    <t>PLN-7679</t>
  </si>
  <si>
    <t>TRX0110</t>
  </si>
  <si>
    <t>PLN-1405</t>
  </si>
  <si>
    <t>TRX0111</t>
  </si>
  <si>
    <t>TRX0112</t>
  </si>
  <si>
    <t>PLN-9844</t>
  </si>
  <si>
    <t>TRX0113</t>
  </si>
  <si>
    <t>TRX0116</t>
  </si>
  <si>
    <t>PLN-2117</t>
  </si>
  <si>
    <t>TRX0115</t>
  </si>
  <si>
    <t>Rumah Tangga 450 VA</t>
  </si>
  <si>
    <t>Total_Tagihan</t>
  </si>
  <si>
    <t>Tarif_per_kWh</t>
  </si>
  <si>
    <t>No_HP</t>
  </si>
  <si>
    <t>Tahun_Pasang</t>
  </si>
  <si>
    <t>Ahmad Setiawan</t>
  </si>
  <si>
    <t>Reguler</t>
  </si>
  <si>
    <t>Agus Setiawan</t>
  </si>
  <si>
    <t>Subsidi</t>
  </si>
  <si>
    <t>Siti Saputra</t>
  </si>
  <si>
    <t>Maya Saputra</t>
  </si>
  <si>
    <t>Ayu Astuti</t>
  </si>
  <si>
    <t>Muhammad Kurniawan</t>
  </si>
  <si>
    <t>Dwi Santoso</t>
  </si>
  <si>
    <t>Prioritas</t>
  </si>
  <si>
    <t>Rina Sari</t>
  </si>
  <si>
    <t>Lia Setiawan</t>
  </si>
  <si>
    <t>Tri Suharto</t>
  </si>
  <si>
    <t>Nur Wahyuni</t>
  </si>
  <si>
    <t>Eko Nugroho</t>
  </si>
  <si>
    <t>Rina Hidayat</t>
  </si>
  <si>
    <t>Ahmad Lestari</t>
  </si>
  <si>
    <t>Ayu Wijaya</t>
  </si>
  <si>
    <t>Hendra Gunawan</t>
  </si>
  <si>
    <t>Nina Syahputra</t>
  </si>
  <si>
    <t>Agus Wahyuni</t>
  </si>
  <si>
    <t>Rizky Gunawan</t>
  </si>
  <si>
    <t>Ari Siregar</t>
  </si>
  <si>
    <t>Eko Syahputra</t>
  </si>
  <si>
    <t>Lia Saputra</t>
  </si>
  <si>
    <t>Rudi Saputra</t>
  </si>
  <si>
    <t>Ari Setiawan</t>
  </si>
  <si>
    <t>Hendra Pratama</t>
  </si>
  <si>
    <t>Indah Saputra</t>
  </si>
  <si>
    <t>Dewi Sari</t>
  </si>
  <si>
    <t>Dwi Wibowo</t>
  </si>
  <si>
    <t>Sri Nugroho</t>
  </si>
  <si>
    <t>Dwi Hidayat</t>
  </si>
  <si>
    <t>Ahmad Sari</t>
  </si>
  <si>
    <t>Ayu Wahyuni</t>
  </si>
  <si>
    <t>Lia Wahyuni</t>
  </si>
  <si>
    <t>Muhammad Wijaya</t>
  </si>
  <si>
    <t>Andi Sinaga</t>
  </si>
  <si>
    <t>Lia Pratama</t>
  </si>
  <si>
    <t>Putri Kurniawan</t>
  </si>
  <si>
    <t>Yuni Sari</t>
  </si>
  <si>
    <t>Nur Setiawan</t>
  </si>
  <si>
    <t>Ayu Hidayat</t>
  </si>
  <si>
    <t>Yuni Lestari</t>
  </si>
  <si>
    <t>Rudi Wibowo</t>
  </si>
  <si>
    <t>Andi Wahyuni</t>
  </si>
  <si>
    <t>Hendra Syahputra</t>
  </si>
  <si>
    <t>Nur Siregar</t>
  </si>
  <si>
    <t>Siti Gunawan</t>
  </si>
  <si>
    <t>Siti Sinaga</t>
  </si>
  <si>
    <t>Hadi Suharto</t>
  </si>
  <si>
    <t>Hadi Gunawan</t>
  </si>
  <si>
    <t>Nur Santoso</t>
  </si>
  <si>
    <t>Nur Rahayu</t>
  </si>
  <si>
    <t>Rudi Suharto</t>
  </si>
  <si>
    <t>Hendra Sinaga</t>
  </si>
  <si>
    <t>Rizky Wahyuni</t>
  </si>
  <si>
    <t>Tri Wibowo</t>
  </si>
  <si>
    <t>Ari Saputra</t>
  </si>
  <si>
    <t>Iwan Setiawan</t>
  </si>
  <si>
    <t>Maya Hidayat</t>
  </si>
  <si>
    <t>Ahmad Nugroho</t>
  </si>
  <si>
    <t>Andi Kurniawan</t>
  </si>
  <si>
    <t>Dwi Pratama</t>
  </si>
  <si>
    <t>Lia Kurniawan</t>
  </si>
  <si>
    <t>Rizky Pratama</t>
  </si>
  <si>
    <t>Rina Wijaya</t>
  </si>
  <si>
    <t>Indah Wahyuni</t>
  </si>
  <si>
    <t>Sri Santoso</t>
  </si>
  <si>
    <t>Putri Setiawan</t>
  </si>
  <si>
    <t>Hendra Astuti</t>
  </si>
  <si>
    <t>Budi Hidayat</t>
  </si>
  <si>
    <t>Dwi Nugroho</t>
  </si>
  <si>
    <t>Sri Gunawan</t>
  </si>
  <si>
    <t>Fitri Hidayat</t>
  </si>
  <si>
    <t>Indah Santoso</t>
  </si>
  <si>
    <t>Ari Rahayu</t>
  </si>
  <si>
    <t>Muhammad Rahayu</t>
  </si>
  <si>
    <t>Nur Syahputra</t>
  </si>
  <si>
    <t>Ratna Syahputra</t>
  </si>
  <si>
    <t>Hendra Kurniawan</t>
  </si>
  <si>
    <t>Rudi Hidayat</t>
  </si>
  <si>
    <t>Andi Rahayu</t>
  </si>
  <si>
    <t>Siti Wahyuni</t>
  </si>
  <si>
    <t>Ayu Pratama</t>
  </si>
  <si>
    <t>Ayu Lestari</t>
  </si>
  <si>
    <t>Nur Sinaga</t>
  </si>
  <si>
    <t>Tri Sinaga</t>
  </si>
  <si>
    <t>Rudi Nugroho</t>
  </si>
  <si>
    <t>Ahmad Wahyuni</t>
  </si>
  <si>
    <t>SUM of KWh_Terpakai</t>
  </si>
  <si>
    <t/>
  </si>
  <si>
    <t>COUNTA of ID_Transaksi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</si>
</sst>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0" fontId="1" numFmtId="0" xfId="0" applyBorder="1" applyFont="1"/>
    <xf borderId="0" fillId="6" fontId="1" numFmtId="0" xfId="0" applyAlignment="1" applyFill="1" applyFont="1">
      <alignment readingOrder="0"/>
    </xf>
    <xf borderId="0" fillId="4" fontId="1" numFmtId="0" xfId="0" applyFill="1" applyFont="1"/>
    <xf borderId="0" fillId="0" fontId="1" numFmtId="0" xfId="0" applyAlignment="1" applyFont="1">
      <alignment readingOrder="0" shrinkToFit="0" wrapText="1"/>
    </xf>
    <xf borderId="1" fillId="5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3" fontId="1" numFmtId="0" xfId="0" applyFill="1" applyFont="1"/>
    <xf borderId="0" fillId="5" fontId="1" numFmtId="0" xfId="0" applyFill="1" applyFon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 of SUM of KWh_Terpakai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1'!$A$2:$A$89</c:f>
            </c:strRef>
          </c:cat>
          <c:val>
            <c:numRef>
              <c:f>'Pivot Table 1'!$B$2:$B$89</c:f>
              <c:numCache/>
            </c:numRef>
          </c:val>
        </c:ser>
        <c:axId val="1080710742"/>
        <c:axId val="558038690"/>
      </c:barChart>
      <c:catAx>
        <c:axId val="10807107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KWh_Terpakai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038690"/>
      </c:catAx>
      <c:valAx>
        <c:axId val="5580386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7107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Lunas and Tunggakan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'Pivot Table 1'!$B$97:$B$98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1'!$A$99:$A$104</c:f>
            </c:strRef>
          </c:cat>
          <c:val>
            <c:numRef>
              <c:f>'Pivot Table 1'!$B$99:$B$104</c:f>
              <c:numCache/>
            </c:numRef>
          </c:val>
        </c:ser>
        <c:ser>
          <c:idx val="1"/>
          <c:order val="1"/>
          <c:tx>
            <c:strRef>
              <c:f>'Pivot Table 1'!$C$97:$C$98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1'!$A$99:$A$104</c:f>
            </c:strRef>
          </c:cat>
          <c:val>
            <c:numRef>
              <c:f>'Pivot Table 1'!$C$99:$C$104</c:f>
              <c:numCache/>
            </c:numRef>
          </c:val>
        </c:ser>
        <c:overlap val="100"/>
        <c:axId val="2121679256"/>
        <c:axId val="1872506843"/>
      </c:barChart>
      <c:catAx>
        <c:axId val="212167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506843"/>
      </c:catAx>
      <c:valAx>
        <c:axId val="1872506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679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2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600075</xdr:colOff>
      <xdr:row>93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2. Data Validation"/>
  </cacheSource>
  <cacheFields>
    <cacheField name="ID_Transaksi" numFmtId="0">
      <sharedItems containsBlank="1">
        <s v="TRX0087"/>
        <s v="TRX0095"/>
        <s v="TRX0038"/>
        <s v="TRX0066"/>
        <s v="TRX0085"/>
        <s v="TRX0032"/>
        <s v="TRX0090"/>
        <s v="TRX0007"/>
        <s v="TRX0073"/>
        <s v="TRX0107"/>
        <s v="TRX0089"/>
        <s v="TRX0084"/>
        <s v="TRX0004"/>
        <s v="TRX0021"/>
        <s v="TRX0117"/>
        <s v="TRX0048"/>
        <s v="TRX0108"/>
        <s v="TRX0060"/>
        <s v="TRX0067"/>
        <s v="TRX0061"/>
        <s v="TRX0088"/>
        <s v="TRX0118"/>
        <s v="TRX0120"/>
        <s v="TRX0057"/>
        <s v="TRX0035"/>
        <s v="TRX0008"/>
        <s v="TRX0097"/>
        <s v="TRX0114"/>
        <s v="TRX0041"/>
        <s v="TRX0003"/>
        <s v="TRX0111"/>
        <s v="TRX0074"/>
        <s v="TRX0116"/>
        <s v="TRX0010"/>
        <s v="TRX0109"/>
        <s v="TRX0001"/>
        <s v="TRX0110"/>
        <s v="TRX0047"/>
        <s v="TRX0093"/>
        <s v="TRX0068"/>
        <s v="TRX0080"/>
        <s v="TRX0102"/>
        <s v="TRX0115"/>
        <s v="TRX0055"/>
        <s v="TRX0028"/>
        <s v="TRX0054"/>
        <s v="TRX0052"/>
        <s v="TRX0086"/>
        <s v="TRX0092"/>
        <s v="TRX0059"/>
        <s v="TRX0065"/>
        <s v="TRX0083"/>
        <s v="TRX0018"/>
        <s v="TRX0051"/>
        <s v="TRX0106"/>
        <s v="TRX0056"/>
        <s v="TRX0046"/>
        <s v="TRX0063"/>
        <s v="TRX0099"/>
        <s v="TRX0013"/>
        <s v="TRX0072"/>
        <s v="TRX0078"/>
        <s v="TRX0100"/>
        <s v="TRX0037"/>
        <s v="TRX0040"/>
        <s v="TRX0062"/>
        <s v="TRX0042"/>
        <s v="TRX0081"/>
        <s v="TRX0026"/>
        <s v="TRX0023"/>
        <s v="TRX0105"/>
        <s v="TRX0033"/>
        <s v="TRX0112"/>
        <s v="TRX0104"/>
        <s v="TRX0043"/>
        <s v="TRX0002"/>
        <s v="TRX0075"/>
        <s v="TRX0079"/>
        <s v="TRX0064"/>
        <s v="TRX0005"/>
        <s v="TRX0006"/>
        <s v="TRX0022"/>
        <s v="TRX0098"/>
        <s v="TRX0113"/>
        <s v="TRX0101"/>
        <s v="TRX0030"/>
        <s v="TRX0094"/>
        <s v="TRX0044"/>
        <s v="TRX0049"/>
        <s v="TRX0050"/>
        <s v="TRX0076"/>
        <s v="TRX0045"/>
        <s v="TRX0091"/>
        <s v="TRX0103"/>
        <s v="TRX0009"/>
        <s v="TRX0011"/>
        <s v="TRX0012"/>
        <s v="TRX0058"/>
        <s v="TRX0025"/>
        <s v="TRX0016"/>
        <s v="TRX0029"/>
        <s v="TRX0031"/>
        <s v="TRX0082"/>
        <s v="TRX0024"/>
        <s v="TRX0019"/>
        <s v="TRX0069"/>
        <s v="TRX0071"/>
        <s v="TRX0070"/>
        <s v="TRX0119"/>
        <s v="TRX0017"/>
        <s v="TRX0034"/>
        <s v="TRX0027"/>
        <s v="TRX0077"/>
        <s v="TRX0036"/>
        <s v="TRX0039"/>
        <s v="TRX0096"/>
        <s v="TRX0020"/>
        <s v="TRX0015"/>
        <s v="TRX0014"/>
        <s v="TRX0053"/>
        <m/>
      </sharedItems>
    </cacheField>
    <cacheField name="Tanggal" numFmtId="164">
      <sharedItems containsDate="1" containsString="0" containsBlank="1">
        <d v="2026-03-08T00:00:00Z"/>
        <d v="2026-02-08T00:00:00Z"/>
        <d v="2026-08-19T00:00:00Z"/>
        <d v="2026-08-28T00:00:00Z"/>
        <d v="2026-08-27T00:00:00Z"/>
        <d v="2026-08-23T00:00:00Z"/>
        <d v="2026-08-14T00:00:00Z"/>
        <d v="2026-08-08T00:00:00Z"/>
        <d v="2026-08-20T00:00:00Z"/>
        <d v="2026-08-31T00:00:00Z"/>
        <d v="2026-09-08T00:00:00Z"/>
        <d v="2026-10-08T00:00:00Z"/>
        <d v="2026-08-24T00:00:00Z"/>
        <d v="2026-08-30T00:00:00Z"/>
        <d v="2026-01-08T00:00:00Z"/>
        <d v="2026-12-08T00:00:00Z"/>
        <d v="2026-07-08T00:00:00Z"/>
        <d v="2026-08-16T00:00:00Z"/>
        <d v="2026-04-08T00:00:00Z"/>
        <d v="2026-08-25T00:00:00Z"/>
        <d v="2026-08-29T00:00:00Z"/>
        <d v="2026-08-21T00:00:00Z"/>
        <d v="2026-05-08T00:00:00Z"/>
        <d v="2026-08-15T00:00:00Z"/>
        <d v="2026-08-18T00:00:00Z"/>
        <d v="2026-08-22T00:00:00Z"/>
        <d v="2026-08-17T00:00:00Z"/>
        <d v="2026-08-13T00:00:00Z"/>
        <d v="2026-11-08T00:00:00Z"/>
        <d v="2026-08-26T00:00:00Z"/>
        <d v="2026-06-08T00:00:00Z"/>
        <m/>
      </sharedItems>
    </cacheField>
    <cacheField name="ID_Pelanggan" numFmtId="0">
      <sharedItems containsBlank="1">
        <s v="PLN-9029"/>
        <s v="PLN-1498"/>
        <s v="PLN-7965"/>
        <s v="PLN-3127"/>
        <s v="PLN-3522"/>
        <s v="PLN-3323"/>
        <s v="PLN-6330"/>
        <s v="PLN-7572"/>
        <s v="PLN-2693"/>
        <s v="PLN-4266"/>
        <s v="PLN-9572"/>
        <s v="PLN-4447"/>
        <s v="PLN-4752"/>
        <s v="PLN-2965"/>
        <s v="PLN-1335"/>
        <s v="PLN-8452"/>
        <s v="PLN-4573"/>
        <s v="PLN-8072"/>
        <s v="PLN-8745"/>
        <s v="PLN-1718"/>
        <s v="PLN-6338"/>
        <s v="PLN-9028"/>
        <s v="PLN-7577"/>
        <s v="PLN-7690"/>
        <s v="PLN-5386"/>
        <s v="PLN-1886"/>
        <s v="PLN-6944"/>
        <s v="PLN-2325"/>
        <s v="PLN-1916"/>
        <s v="PLN-3158"/>
        <s v="PLN-5735"/>
        <s v="PLN-2117"/>
        <s v="PLN-9494"/>
        <s v="PLN-7679"/>
        <s v="PLN-4598"/>
        <s v="PLN-1405"/>
        <s v="PLN-3631"/>
        <s v="PLN-6143"/>
        <s v="PLN-8692"/>
        <s v="PLN-6178"/>
        <s v="PLN-9020"/>
        <s v="PLN-1200"/>
        <s v="PLN-3304"/>
        <s v="PLN-4148"/>
        <s v="PLN-2194"/>
        <s v="PLN-4475"/>
        <s v="PLN-9118"/>
        <s v="PLN-1647"/>
        <s v="PLN-4966"/>
        <s v="PLN-7607"/>
        <s v="PLN-7941"/>
        <s v="PLN-4197"/>
        <s v="PLN-7815"/>
        <s v="PLN-8547"/>
        <s v="PLN-2019"/>
        <m/>
        <s v="PLN-6851"/>
        <s v="PLN-1951"/>
        <s v="PLN-3297"/>
        <s v="PLN-1411"/>
        <s v="PLN-5586"/>
        <s v="PLN-4264"/>
        <s v="PLN-3298"/>
        <s v="PLN-4683"/>
        <s v="PLN-7731"/>
        <s v="PLN-5629"/>
        <s v="PLN-1903"/>
        <s v="PLN-9844"/>
        <s v="PLN-4601"/>
        <s v="PLN-6313"/>
        <s v="PLN-3561"/>
        <s v="PLN-4113"/>
        <s v="PLN-5591"/>
        <s v="PLN-1525"/>
        <s v="PLN-6168"/>
        <s v="PLN-4841"/>
        <s v="PLN-6218"/>
        <s v="PLN-8800"/>
        <s v="PLN-5473"/>
        <s v="PLN-2287"/>
        <s v="PLN-9023"/>
        <s v="PLN-1442"/>
        <s v="PLN-4905"/>
        <s v="PLN-6582"/>
        <s v="PLN-1132"/>
        <s v="PLN-2321"/>
        <s v="PLN-8935"/>
        <s v="PLN-6481"/>
        <s v="PLN-1011"/>
        <s v="PLN-1785"/>
        <s v="PLN-3183"/>
        <s v="PLN-3918"/>
        <s v="PLN-9733"/>
        <s v="PLN-5497"/>
        <s v="PLN-8276"/>
        <s v="PLN-8114"/>
        <s v="PLN-1934"/>
        <s v="PLN-1659"/>
        <s v="PLN-4428"/>
        <s v="PLN-9491"/>
        <s v="PLN-3736"/>
        <s v="PLN-5900"/>
        <s v="PLN-3184"/>
        <s v="PLN-8438"/>
      </sharedItems>
    </cacheField>
    <cacheField name="ID_Layanan" numFmtId="0">
      <sharedItems containsBlank="1">
        <s v="R1-900"/>
        <s v="B1-900"/>
        <s v="B1-450"/>
        <s v="R1-450"/>
        <s v="R1-1300"/>
        <s v="B1-1300"/>
        <m/>
      </sharedItems>
    </cacheField>
    <cacheField name="Area" numFmtId="0">
      <sharedItems containsBlank="1">
        <s v="Bogor"/>
        <s v="Jakarta"/>
        <s v="Tngrang"/>
        <s v="jkt"/>
        <s v=" Bekasi"/>
        <s v="Bekasi"/>
        <s v="Tangerang"/>
        <s v="Depok "/>
        <s v="Depok"/>
        <m/>
      </sharedItems>
    </cacheField>
    <cacheField name="KWh_Terpakai" numFmtId="0">
      <sharedItems containsString="0" containsBlank="1" containsNumber="1" containsInteger="1">
        <n v="5000.0"/>
        <n v="385.0"/>
        <n v="356.0"/>
        <n v="355.0"/>
        <n v="352.0"/>
        <n v="348.0"/>
        <n v="345.0"/>
        <n v="326.0"/>
        <n v="325.0"/>
        <n v="323.0"/>
        <n v="322.0"/>
        <n v="321.0"/>
        <n v="317.0"/>
        <n v="313.0"/>
        <n v="284.0"/>
        <n v="282.0"/>
        <n v="278.0"/>
        <n v="276.0"/>
        <n v="272.0"/>
        <n v="270.0"/>
        <n v="267.0"/>
        <n v="265.0"/>
        <n v="261.0"/>
        <n v="259.0"/>
        <n v="258.0"/>
        <n v="251.0"/>
        <n v="246.0"/>
        <n v="245.0"/>
        <n v="243.0"/>
        <n v="240.0"/>
        <n v="239.0"/>
        <n v="238.0"/>
        <n v="236.0"/>
        <n v="233.0"/>
        <n v="232.0"/>
        <n v="230.0"/>
        <n v="228.0"/>
        <n v="226.0"/>
        <n v="225.0"/>
        <n v="224.0"/>
        <n v="223.0"/>
        <n v="220.0"/>
        <n v="219.0"/>
        <n v="218.0"/>
        <n v="217.0"/>
        <n v="216.0"/>
        <n v="215.0"/>
        <n v="214.0"/>
        <n v="213.0"/>
        <n v="208.0"/>
        <n v="205.0"/>
        <n v="200.0"/>
        <n v="198.0"/>
        <n v="197.0"/>
        <n v="192.0"/>
        <n v="190.0"/>
        <n v="188.0"/>
        <n v="187.0"/>
        <n v="186.0"/>
        <n v="183.0"/>
        <n v="181.0"/>
        <n v="179.0"/>
        <n v="178.0"/>
        <n v="176.0"/>
        <n v="175.0"/>
        <n v="173.0"/>
        <n v="170.0"/>
        <n v="166.0"/>
        <n v="163.0"/>
        <n v="162.0"/>
        <n v="161.0"/>
        <n v="156.0"/>
        <n v="155.0"/>
        <n v="151.0"/>
        <n v="133.0"/>
        <n v="132.0"/>
        <n v="127.0"/>
        <n v="126.0"/>
        <n v="120.0"/>
        <n v="119.0"/>
        <n v="118.0"/>
        <n v="115.0"/>
        <n v="107.0"/>
        <n v="105.0"/>
        <n v="102.0"/>
        <n v="93.0"/>
        <n v="82.0"/>
        <n v="62.0"/>
        <n v="61.0"/>
        <n v="41.0"/>
        <n v="-50.0"/>
        <m/>
      </sharedItems>
    </cacheField>
    <cacheField name="Status_Bayar" numFmtId="0">
      <sharedItems containsBlank="1">
        <s v="Lunas"/>
        <s v="Tunggakan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3. Data Cleaning"/>
  </cacheSource>
  <cacheFields>
    <cacheField name="ID_Transaksi" numFmtId="0">
      <sharedItems containsBlank="1">
        <s v="TRX0053"/>
        <s v="TRX0014"/>
        <s v="TRX0015"/>
        <s v="TRX0020"/>
        <s v="TRX0096"/>
        <s v="TRX0039"/>
        <s v="TRX0036"/>
        <s v="TRX0077"/>
        <s v="TRX0027"/>
        <s v="TRX0034"/>
        <s v="TRX0017"/>
        <s v="TRX0119"/>
        <s v="TRX0070"/>
        <s v="TRX0071"/>
        <s v="TRX0019"/>
        <s v="TRX0069"/>
        <s v="TRX0024"/>
        <s v="TRX0082"/>
        <s v="TRX0029"/>
        <s v="TRX0031"/>
        <s v="TRX0016"/>
        <s v="TRX0025"/>
        <s v="TRX0058"/>
        <s v="TRX0009"/>
        <s v="TRX0011"/>
        <s v="TRX0012"/>
        <s v="TRX0045"/>
        <s v="TRX0091"/>
        <s v="TRX0103"/>
        <s v="TRX0076"/>
        <s v="TRX0050"/>
        <s v="TRX0049"/>
        <s v="TRX0044"/>
        <s v="TRX0030"/>
        <s v="TRX0094"/>
        <s v="TRX0101"/>
        <s v="TRX0098"/>
        <s v="TRX0113"/>
        <s v="TRX0005"/>
        <s v="TRX0006"/>
        <s v="TRX0022"/>
        <s v="TRX0064"/>
        <s v="TRX0079"/>
        <s v="TRX0075"/>
        <s v="TRX0002"/>
        <s v="TRX0043"/>
        <s v="TRX0104"/>
        <s v="TRX0112"/>
        <s v="TRX0033"/>
        <s v="TRX0105"/>
        <s v="TRX0023"/>
        <s v="TRX0026"/>
        <s v="TRX0042"/>
        <s v="TRX0081"/>
        <s v="TRX0062"/>
        <s v="TRX0040"/>
        <s v="TRX0037"/>
        <s v="TRX0100"/>
        <s v="TRX0072"/>
        <s v="TRX0078"/>
        <s v="TRX0013"/>
        <s v="TRX0099"/>
        <s v="TRX0046"/>
        <s v="TRX0063"/>
        <s v="TRX0056"/>
        <s v="TRX0018"/>
        <s v="TRX0051"/>
        <s v="TRX0106"/>
        <s v="TRX0059"/>
        <s v="TRX0065"/>
        <s v="TRX0083"/>
        <s v="TRX0052"/>
        <s v="TRX0086"/>
        <s v="TRX0092"/>
        <s v="TRX0028"/>
        <s v="TRX0054"/>
        <s v="TRX0055"/>
        <s v="TRX0068"/>
        <s v="TRX0080"/>
        <s v="TRX0102"/>
        <s v="TRX0115"/>
        <s v="TRX0047"/>
        <s v="TRX0093"/>
        <s v="TRX0110"/>
        <s v="TRX0001"/>
        <s v="TRX0109"/>
        <s v="TRX0010"/>
        <s v="TRX0116"/>
        <s v="TRX0074"/>
        <s v="TRX0087"/>
        <s v="TRX0003"/>
        <s v="TRX0111"/>
        <s v="TRX0041"/>
        <s v="TRX0114"/>
        <s v="TRX0008"/>
        <s v="TRX0097"/>
        <s v="TRX0035"/>
        <s v="TRX0057"/>
        <s v="TRX0088"/>
        <s v="TRX0118"/>
        <s v="TRX0120"/>
        <s v="TRX0061"/>
        <s v="TRX0067"/>
        <s v="TRX0060"/>
        <s v="TRX0108"/>
        <s v="TRX0048"/>
        <s v="TRX0117"/>
        <s v="TRX0021"/>
        <s v="TRX0004"/>
        <s v="TRX0084"/>
        <s v="TRX0089"/>
        <s v="TRX0107"/>
        <s v="TRX0007"/>
        <s v="TRX0073"/>
        <s v="TRX0090"/>
        <s v="TRX0032"/>
        <s v="TRX0085"/>
        <s v="TRX0066"/>
        <s v="TRX0038"/>
        <s v="TRX0095"/>
        <m/>
      </sharedItems>
    </cacheField>
    <cacheField name="Tanggal" numFmtId="164">
      <sharedItems containsDate="1" containsString="0" containsBlank="1">
        <d v="2026-04-08T00:00:00Z"/>
        <d v="2026-08-22T00:00:00Z"/>
        <d v="2026-01-08T00:00:00Z"/>
        <d v="2026-08-20T00:00:00Z"/>
        <d v="2026-08-29T00:00:00Z"/>
        <d v="2026-08-08T00:00:00Z"/>
        <d v="2026-08-18T00:00:00Z"/>
        <d v="2026-11-08T00:00:00Z"/>
        <d v="2026-08-16T00:00:00Z"/>
        <d v="2026-06-08T00:00:00Z"/>
        <d v="2026-08-25T00:00:00Z"/>
        <d v="2026-08-14T00:00:00Z"/>
        <d v="2026-08-23T00:00:00Z"/>
        <d v="2026-10-08T00:00:00Z"/>
        <d v="2026-03-08T00:00:00Z"/>
        <d v="2026-08-13T00:00:00Z"/>
        <d v="2026-07-08T00:00:00Z"/>
        <d v="2026-08-15T00:00:00Z"/>
        <d v="2026-08-28T00:00:00Z"/>
        <d v="2026-08-27T00:00:00Z"/>
        <d v="2026-09-08T00:00:00Z"/>
        <d v="2026-08-17T00:00:00Z"/>
        <d v="2026-08-26T00:00:00Z"/>
        <d v="2026-02-08T00:00:00Z"/>
        <d v="2026-08-21T00:00:00Z"/>
        <d v="2026-05-08T00:00:00Z"/>
        <d v="2026-08-19T00:00:00Z"/>
        <d v="2026-08-24T00:00:00Z"/>
        <d v="2026-12-08T00:00:00Z"/>
        <d v="2026-08-31T00:00:00Z"/>
        <d v="2026-08-30T00:00:00Z"/>
        <m/>
      </sharedItems>
    </cacheField>
    <cacheField name="ID_Pelanggan" numFmtId="0">
      <sharedItems containsBlank="1">
        <s v="PLN-8438"/>
        <s v="PLN-1916"/>
        <s v="PLN-3184"/>
        <s v="PLN-4266"/>
        <s v="PLN-5900"/>
        <s v="PLN-3736"/>
        <s v="PLN-9491"/>
        <s v="PLN-4428"/>
        <s v="PLN-1659"/>
        <s v="PLN-1934"/>
        <s v="PLN-5473"/>
        <s v="PLN-8114"/>
        <s v="PLN-8276"/>
        <s v="PLN-5497"/>
        <s v="PLN-9733"/>
        <s v="PLN-6582"/>
        <s v="PLN-3918"/>
        <s v="PLN-9494"/>
        <s v="PLN-1785"/>
        <s v="PLN-3183"/>
        <s v="PLN-1011"/>
        <s v="PLN-6481"/>
        <s v="PLN-8935"/>
        <s v="N/A"/>
        <s v="PLN-1132"/>
        <s v="PLN-2321"/>
        <s v="PLN-4905"/>
        <s v="PLN-6944"/>
        <s v="PLN-1442"/>
        <s v="PLN-3158"/>
        <s v="PLN-9023"/>
        <s v="PLN-2287"/>
        <s v="PLN-8800"/>
        <s v="PLN-6218"/>
        <s v="PLN-1525"/>
        <s v="PLN-6168"/>
        <s v="PLN-4841"/>
        <s v="PLN-5591"/>
        <s v="PLN-4113"/>
        <s v="PLN-3561"/>
        <s v="PLN-6313"/>
        <s v="PLN-4601"/>
        <s v="PLN-9844"/>
        <s v="PLN-1903"/>
        <s v="PLN-5629"/>
        <s v="PLN-7731"/>
        <s v="PLN-4683"/>
        <s v="PLN-4264"/>
        <s v="PLN-3298"/>
        <s v="PLN-9572"/>
        <s v="PLN-5586"/>
        <s v="PLN-1411"/>
        <s v="PLN-3297"/>
        <s v="PLN-2325"/>
        <s v="PLN-1951"/>
        <s v="PLN-6851"/>
        <s v="PLN-8547"/>
        <s v="PLN-2019"/>
        <s v="PLN-7941"/>
        <s v="PLN-4197"/>
        <s v="PLN-7815"/>
        <s v="PLN-1647"/>
        <s v="PLN-4966"/>
        <s v="PLN-7607"/>
        <s v="PLN-2194"/>
        <s v="PLN-4475"/>
        <s v="PLN-9118"/>
        <s v="PLN-3304"/>
        <s v="PLN-4148"/>
        <s v="PLN-1200"/>
        <s v="PLN-8692"/>
        <s v="PLN-6178"/>
        <s v="PLN-9020"/>
        <s v="PLN-1718"/>
        <s v="PLN-3631"/>
        <s v="PLN-6143"/>
        <s v="PLN-1405"/>
        <s v="PLN-4598"/>
        <s v="PLN-7679"/>
        <s v="PLN-2117"/>
        <s v="PLN-5735"/>
        <s v="PLN-9029"/>
        <s v="PLN-5386"/>
        <s v="PLN-1886"/>
        <s v="PLN-7690"/>
        <s v="PLN-7577"/>
        <s v="PLN-6338"/>
        <s v="PLN-9028"/>
        <s v="PLN-8745"/>
        <s v="PLN-8072"/>
        <s v="PLN-4573"/>
        <s v="PLN-8452"/>
        <s v="PLN-1335"/>
        <s v="PLN-2965"/>
        <s v="PLN-4752"/>
        <s v="PLN-4447"/>
        <s v="PLN-7572"/>
        <s v="PLN-2693"/>
        <s v="PLN-6330"/>
        <s v="PLN-3323"/>
        <s v="PLN-3522"/>
        <s v="PLN-3127"/>
        <s v="PLN-7965"/>
        <s v="PLN-1498"/>
        <m/>
      </sharedItems>
    </cacheField>
    <cacheField name="ID_Layanan" numFmtId="0">
      <sharedItems containsBlank="1">
        <s v="R1-1300"/>
        <s v="B1-900"/>
        <s v="R1-900"/>
        <s v="B1-450"/>
        <s v="B1-1300"/>
        <s v="R1-450"/>
        <m/>
      </sharedItems>
    </cacheField>
    <cacheField name="Area" numFmtId="0">
      <sharedItems containsBlank="1">
        <s v="Bekasi"/>
        <s v="Jakarta"/>
        <s v="Tangerang"/>
        <s v="Depok"/>
        <s v="Bogor"/>
        <s v="N/A"/>
        <m/>
      </sharedItems>
    </cacheField>
    <cacheField name="KWh_Terpakai" numFmtId="0">
      <sharedItems containsString="0" containsBlank="1" containsNumber="1" containsInteger="1">
        <n v="218.0"/>
        <n v="41.0"/>
        <n v="61.0"/>
        <n v="62.0"/>
        <n v="82.0"/>
        <n v="93.0"/>
        <n v="102.0"/>
        <n v="105.0"/>
        <n v="107.0"/>
        <n v="115.0"/>
        <n v="118.0"/>
        <n v="119.0"/>
        <n v="120.0"/>
        <n v="126.0"/>
        <n v="127.0"/>
        <n v="132.0"/>
        <n v="133.0"/>
        <n v="151.0"/>
        <n v="155.0"/>
        <n v="156.0"/>
        <n v="161.0"/>
        <n v="162.0"/>
        <n v="163.0"/>
        <n v="166.0"/>
        <n v="170.0"/>
        <n v="173.0"/>
        <n v="175.0"/>
        <n v="176.0"/>
        <n v="178.0"/>
        <n v="179.0"/>
        <n v="181.0"/>
        <n v="183.0"/>
        <n v="186.0"/>
        <n v="187.0"/>
        <n v="188.0"/>
        <n v="190.0"/>
        <n v="192.0"/>
        <n v="197.0"/>
        <n v="198.0"/>
        <n v="200.0"/>
        <n v="205.0"/>
        <n v="208.0"/>
        <n v="213.0"/>
        <n v="214.0"/>
        <n v="215.0"/>
        <n v="216.0"/>
        <n v="217.0"/>
        <n v="219.0"/>
        <n v="220.0"/>
        <n v="223.0"/>
        <n v="224.0"/>
        <n v="225.0"/>
        <n v="226.0"/>
        <n v="228.0"/>
        <n v="230.0"/>
        <n v="232.0"/>
        <n v="233.0"/>
        <n v="236.0"/>
        <n v="238.0"/>
        <n v="239.0"/>
        <n v="240.0"/>
        <n v="243.0"/>
        <n v="245.0"/>
        <n v="246.0"/>
        <n v="248.0"/>
        <n v="251.0"/>
        <n v="258.0"/>
        <n v="259.0"/>
        <n v="261.0"/>
        <n v="265.0"/>
        <n v="267.0"/>
        <n v="270.0"/>
        <n v="272.0"/>
        <n v="276.0"/>
        <n v="278.0"/>
        <n v="282.0"/>
        <n v="284.0"/>
        <n v="313.0"/>
        <n v="317.0"/>
        <n v="321.0"/>
        <n v="322.0"/>
        <n v="323.0"/>
        <n v="325.0"/>
        <n v="326.0"/>
        <n v="345.0"/>
        <n v="348.0"/>
        <n v="352.0"/>
        <n v="355.0"/>
        <n v="356.0"/>
        <n v="385.0"/>
        <m/>
      </sharedItems>
    </cacheField>
    <cacheField name="Status_Bayar" numFmtId="0">
      <sharedItems containsBlank="1">
        <s v="Lunas"/>
        <s v="Tunggakan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21" sheet="5. Feature Engineering"/>
  </cacheSource>
  <cacheFields>
    <cacheField name="ID_Transaksi" numFmtId="0">
      <sharedItems>
        <s v="TRX0053"/>
        <s v="TRX0014"/>
        <s v="TRX0015"/>
        <s v="TRX0020"/>
        <s v="TRX0096"/>
        <s v="TRX0039"/>
        <s v="TRX0036"/>
        <s v="TRX0077"/>
        <s v="TRX0027"/>
        <s v="TRX0034"/>
        <s v="TRX0017"/>
        <s v="TRX0119"/>
        <s v="TRX0070"/>
        <s v="TRX0071"/>
        <s v="TRX0019"/>
        <s v="TRX0069"/>
        <s v="TRX0024"/>
        <s v="TRX0082"/>
        <s v="TRX0029"/>
        <s v="TRX0031"/>
        <s v="TRX0016"/>
        <s v="TRX0025"/>
        <s v="TRX0058"/>
        <s v="TRX0009"/>
        <s v="TRX0011"/>
        <s v="TRX0012"/>
        <s v="TRX0045"/>
        <s v="TRX0091"/>
        <s v="TRX0103"/>
        <s v="TRX0076"/>
        <s v="TRX0050"/>
        <s v="TRX0049"/>
        <s v="TRX0044"/>
        <s v="TRX0030"/>
        <s v="TRX0094"/>
        <s v="TRX0101"/>
        <s v="TRX0098"/>
        <s v="TRX0113"/>
        <s v="TRX0005"/>
        <s v="TRX0006"/>
        <s v="TRX0022"/>
        <s v="TRX0064"/>
        <s v="TRX0079"/>
        <s v="TRX0075"/>
        <s v="TRX0002"/>
        <s v="TRX0043"/>
        <s v="TRX0104"/>
        <s v="TRX0112"/>
        <s v="TRX0033"/>
        <s v="TRX0105"/>
        <s v="TRX0023"/>
        <s v="TRX0026"/>
        <s v="TRX0042"/>
        <s v="TRX0081"/>
        <s v="TRX0062"/>
        <s v="TRX0040"/>
        <s v="TRX0037"/>
        <s v="TRX0100"/>
        <s v="TRX0072"/>
        <s v="TRX0078"/>
        <s v="TRX0013"/>
        <s v="TRX0099"/>
        <s v="TRX0046"/>
        <s v="TRX0063"/>
        <s v="TRX0056"/>
        <s v="TRX0018"/>
        <s v="TRX0051"/>
        <s v="TRX0106"/>
        <s v="TRX0059"/>
        <s v="TRX0065"/>
        <s v="TRX0083"/>
        <s v="TRX0052"/>
        <s v="TRX0086"/>
        <s v="TRX0092"/>
        <s v="TRX0028"/>
        <s v="TRX0054"/>
        <s v="TRX0055"/>
        <s v="TRX0068"/>
        <s v="TRX0080"/>
        <s v="TRX0102"/>
        <s v="TRX0115"/>
        <s v="TRX0047"/>
        <s v="TRX0093"/>
        <s v="TRX0110"/>
        <s v="TRX0001"/>
        <s v="TRX0109"/>
        <s v="TRX0010"/>
        <s v="TRX0116"/>
        <s v="TRX0074"/>
        <s v="TRX0087"/>
        <s v="TRX0003"/>
        <s v="TRX0111"/>
        <s v="TRX0041"/>
        <s v="TRX0114"/>
        <s v="TRX0008"/>
        <s v="TRX0097"/>
        <s v="TRX0035"/>
        <s v="TRX0057"/>
        <s v="TRX0088"/>
        <s v="TRX0118"/>
        <s v="TRX0120"/>
        <s v="TRX0061"/>
        <s v="TRX0067"/>
        <s v="TRX0060"/>
        <s v="TRX0108"/>
        <s v="TRX0048"/>
        <s v="TRX0117"/>
        <s v="TRX0021"/>
        <s v="TRX0004"/>
        <s v="TRX0084"/>
        <s v="TRX0089"/>
        <s v="TRX0107"/>
        <s v="TRX0007"/>
        <s v="TRX0073"/>
        <s v="TRX0090"/>
        <s v="TRX0032"/>
        <s v="TRX0085"/>
        <s v="TRX0066"/>
        <s v="TRX0038"/>
        <s v="TRX0095"/>
      </sharedItems>
    </cacheField>
    <cacheField name="Tanggal" numFmtId="164">
      <sharedItems containsSemiMixedTypes="0" containsDate="1" containsString="0">
        <d v="2026-04-08T00:00:00Z"/>
        <d v="2026-08-22T00:00:00Z"/>
        <d v="2026-01-08T00:00:00Z"/>
        <d v="2026-08-20T00:00:00Z"/>
        <d v="2026-08-29T00:00:00Z"/>
        <d v="2026-08-08T00:00:00Z"/>
        <d v="2026-08-18T00:00:00Z"/>
        <d v="2026-11-08T00:00:00Z"/>
        <d v="2026-08-16T00:00:00Z"/>
        <d v="2026-06-08T00:00:00Z"/>
        <d v="2026-08-25T00:00:00Z"/>
        <d v="2026-08-14T00:00:00Z"/>
        <d v="2026-08-23T00:00:00Z"/>
        <d v="2026-10-08T00:00:00Z"/>
        <d v="2026-03-08T00:00:00Z"/>
        <d v="2026-08-13T00:00:00Z"/>
        <d v="2026-07-08T00:00:00Z"/>
        <d v="2026-08-15T00:00:00Z"/>
        <d v="2026-08-28T00:00:00Z"/>
        <d v="2026-08-27T00:00:00Z"/>
        <d v="2026-09-08T00:00:00Z"/>
        <d v="2026-08-17T00:00:00Z"/>
        <d v="2026-08-26T00:00:00Z"/>
        <d v="2026-02-08T00:00:00Z"/>
        <d v="2026-08-21T00:00:00Z"/>
        <d v="2026-05-08T00:00:00Z"/>
        <d v="2026-08-19T00:00:00Z"/>
        <d v="2026-08-24T00:00:00Z"/>
        <d v="2026-12-08T00:00:00Z"/>
        <d v="2026-08-31T00:00:00Z"/>
        <d v="2026-08-30T00:00:00Z"/>
      </sharedItems>
    </cacheField>
    <cacheField name="ID_Pelanggan" numFmtId="0">
      <sharedItems>
        <s v="PLN-8438"/>
        <s v="PLN-1916"/>
        <s v="PLN-3184"/>
        <s v="PLN-4266"/>
        <s v="PLN-5900"/>
        <s v="PLN-3736"/>
        <s v="PLN-9491"/>
        <s v="PLN-4428"/>
        <s v="PLN-1659"/>
        <s v="PLN-1934"/>
        <s v="PLN-5473"/>
        <s v="PLN-8114"/>
        <s v="PLN-8276"/>
        <s v="PLN-5497"/>
        <s v="PLN-9733"/>
        <s v="PLN-6582"/>
        <s v="PLN-3918"/>
        <s v="PLN-9494"/>
        <s v="PLN-1785"/>
        <s v="PLN-3183"/>
        <s v="PLN-1011"/>
        <s v="PLN-6481"/>
        <s v="PLN-8935"/>
        <s v="N/A"/>
        <s v="PLN-1132"/>
        <s v="PLN-2321"/>
        <s v="PLN-4905"/>
        <s v="PLN-6944"/>
        <s v="PLN-1442"/>
        <s v="PLN-3158"/>
        <s v="PLN-9023"/>
        <s v="PLN-2287"/>
        <s v="PLN-8800"/>
        <s v="PLN-6218"/>
        <s v="PLN-1525"/>
        <s v="PLN-6168"/>
        <s v="PLN-4841"/>
        <s v="PLN-5591"/>
        <s v="PLN-4113"/>
        <s v="PLN-3561"/>
        <s v="PLN-6313"/>
        <s v="PLN-4601"/>
        <s v="PLN-9844"/>
        <s v="PLN-1903"/>
        <s v="PLN-5629"/>
        <s v="PLN-7731"/>
        <s v="PLN-4683"/>
        <s v="PLN-4264"/>
        <s v="PLN-3298"/>
        <s v="PLN-9572"/>
        <s v="PLN-5586"/>
        <s v="PLN-1411"/>
        <s v="PLN-3297"/>
        <s v="PLN-2325"/>
        <s v="PLN-1951"/>
        <s v="PLN-6851"/>
        <s v="PLN-8547"/>
        <s v="PLN-2019"/>
        <s v="PLN-7941"/>
        <s v="PLN-4197"/>
        <s v="PLN-7815"/>
        <s v="PLN-1647"/>
        <s v="PLN-4966"/>
        <s v="PLN-7607"/>
        <s v="PLN-2194"/>
        <s v="PLN-4475"/>
        <s v="PLN-9118"/>
        <s v="PLN-3304"/>
        <s v="PLN-4148"/>
        <s v="PLN-1200"/>
        <s v="PLN-8692"/>
        <s v="PLN-6178"/>
        <s v="PLN-9020"/>
        <s v="PLN-1718"/>
        <s v="PLN-3631"/>
        <s v="PLN-6143"/>
        <s v="PLN-1405"/>
        <s v="PLN-4598"/>
        <s v="PLN-7679"/>
        <s v="PLN-2117"/>
        <s v="PLN-5735"/>
        <s v="PLN-9029"/>
        <s v="PLN-5386"/>
        <s v="PLN-1886"/>
        <s v="PLN-7690"/>
        <s v="PLN-7577"/>
        <s v="PLN-6338"/>
        <s v="PLN-9028"/>
        <s v="PLN-8745"/>
        <s v="PLN-8072"/>
        <s v="PLN-4573"/>
        <s v="PLN-8452"/>
        <s v="PLN-1335"/>
        <s v="PLN-2965"/>
        <s v="PLN-4752"/>
        <s v="PLN-4447"/>
        <s v="PLN-7572"/>
        <s v="PLN-2693"/>
        <s v="PLN-6330"/>
        <s v="PLN-3323"/>
        <s v="PLN-3522"/>
        <s v="PLN-3127"/>
        <s v="PLN-7965"/>
        <s v="PLN-1498"/>
      </sharedItems>
    </cacheField>
    <cacheField name="Nama_Pelanggan" numFmtId="0">
      <sharedItems>
        <s v="Nur Siregar"/>
        <s v="Siti Saputra"/>
        <s v="Rina Hidayat"/>
        <s v="Nina Syahputra"/>
        <s v="Ari Rahayu"/>
        <s v="Lia Wahyuni"/>
        <s v="Dwi Hidayat"/>
        <s v="Rina Wijaya"/>
        <s v="Dwi Santoso"/>
        <s v="Dwi Wibowo"/>
        <s v="Eko Nugroho"/>
        <s v="Rudi Nugroho"/>
        <s v="Ahmad Nugroho"/>
        <s v="Andi Kurniawan"/>
        <s v="Hendra Gunawan"/>
        <s v="Maya Hidayat"/>
        <s v="Ahmad Lestari"/>
        <s v="Lia Setiawan"/>
        <s v="Ari Setiawan"/>
        <s v="Indah Saputra"/>
        <s v="Eko Syahputra"/>
        <s v="Hadi Suharto"/>
        <e v="#N/A"/>
        <s v="Tri Suharto"/>
        <s v="Nur Wahyuni"/>
        <s v="Yuni Sari"/>
        <s v="Rudi Hidayat"/>
        <s v="Lia Pratama"/>
        <s v="Andi Wahyuni"/>
        <s v="Rudi Wibowo"/>
        <s v="Putri Kurniawan"/>
        <s v="Hendra Pratama"/>
        <s v="Ratna Syahputra"/>
        <s v="Ayu Astuti"/>
        <s v="Muhammad Kurniawan"/>
        <s v="Rizky Gunawan"/>
        <s v="Hendra Sinaga"/>
        <s v="Indah Wahyuni"/>
        <s v="Rizky Pratama"/>
        <s v="Agus Setiawan"/>
        <s v="Andi Rahayu"/>
        <s v="Nur Rahayu"/>
        <s v="Ari Siregar"/>
        <s v="Lia Saputra"/>
        <s v="Putri Setiawan"/>
        <s v="Rudi Suharto"/>
        <s v="Muhammad Wijaya"/>
        <s v="Ahmad Sari"/>
        <s v="Nur Syahputra"/>
        <s v="Andi Sinaga"/>
        <s v="Dewi Sari"/>
        <s v="Siti Sinaga"/>
        <s v="Nur Setiawan"/>
        <s v="Ayu Wijaya"/>
        <s v="Hendra Syahputra"/>
        <s v="Siti Wahyuni"/>
        <s v="Hadi Gunawan"/>
        <s v="Rizky Wahyuni"/>
        <s v="Hendra Astuti"/>
        <s v="Tri Wibowo"/>
        <s v="Rudi Saputra"/>
        <s v="Siti Gunawan"/>
        <s v="Iwan Setiawan"/>
        <s v="Sri Santoso"/>
        <s v="Hendra Kurniawan"/>
        <s v="Ayu Hidayat"/>
        <s v="Fitri Hidayat"/>
        <s v="Ayu Lestari"/>
        <s v="Ahmad Setiawan"/>
        <s v="Ayu Pratama"/>
        <s v="Nur Sinaga"/>
        <s v="Lia Kurniawan"/>
        <s v="Sri Gunawan"/>
        <s v="Rina Sari"/>
        <s v="Muhammad Rahayu"/>
        <s v="Sri Nugroho"/>
        <s v="Tri Sinaga"/>
        <s v="Ahmad Wahyuni"/>
        <s v="Ari Saputra"/>
        <s v="Nur Santoso"/>
        <s v="Yuni Lestari"/>
        <s v="Agus Wahyuni"/>
        <s v="Maya Saputra"/>
        <s v="Budi Hidayat"/>
        <s v="Dwi Pratama"/>
        <s v="Dwi Nugroho"/>
        <s v="Ayu Wahyuni"/>
        <s v="Indah Santoso"/>
      </sharedItems>
    </cacheField>
    <cacheField name="Segmen_Pelanggan" numFmtId="0">
      <sharedItems>
        <s v="Reguler"/>
        <s v="Prioritas"/>
        <s v="Subsidi"/>
        <e v="#N/A"/>
      </sharedItems>
    </cacheField>
    <cacheField name="ID_Layanan" numFmtId="0">
      <sharedItems>
        <s v="R1-1300"/>
        <s v="B1-900"/>
        <s v="R1-900"/>
        <s v="B1-450"/>
        <s v="B1-1300"/>
        <s v="R1-450"/>
      </sharedItems>
    </cacheField>
    <cacheField name="Nama_Layanan" numFmtId="0">
      <sharedItems>
        <s v="Rumah Tangga 1300 VA"/>
        <s v="Bisnis 900 VA"/>
        <s v="Rumah Tangga 900 VA"/>
        <s v="Bisnis 450 VA"/>
        <s v="Bisnis 1300 VA"/>
        <s v="Rumah Tangga 450 VA"/>
      </sharedItems>
    </cacheField>
    <cacheField name="Tarif_per_KWH" numFmtId="165">
      <sharedItems containsSemiMixedTypes="0" containsString="0" containsNumber="1" containsInteger="1">
        <n v="1444.0"/>
        <n v="633.0"/>
        <n v="1352.0"/>
        <n v="535.0"/>
        <n v="966.0"/>
        <n v="415.0"/>
      </sharedItems>
    </cacheField>
    <cacheField name="Area" numFmtId="0">
      <sharedItems>
        <s v="Bekasi"/>
        <s v="Jakarta"/>
        <s v="Tangerang"/>
        <s v="Depok"/>
        <s v="Bogor"/>
        <s v="N/A"/>
      </sharedItems>
    </cacheField>
    <cacheField name="KWh_Terpakai" numFmtId="0">
      <sharedItems containsSemiMixedTypes="0" containsString="0" containsNumber="1" containsInteger="1">
        <n v="218.0"/>
        <n v="41.0"/>
        <n v="61.0"/>
        <n v="62.0"/>
        <n v="82.0"/>
        <n v="93.0"/>
        <n v="102.0"/>
        <n v="105.0"/>
        <n v="107.0"/>
        <n v="115.0"/>
        <n v="118.0"/>
        <n v="119.0"/>
        <n v="120.0"/>
        <n v="126.0"/>
        <n v="127.0"/>
        <n v="132.0"/>
        <n v="133.0"/>
        <n v="151.0"/>
        <n v="155.0"/>
        <n v="156.0"/>
        <n v="161.0"/>
        <n v="162.0"/>
        <n v="163.0"/>
        <n v="166.0"/>
        <n v="170.0"/>
        <n v="173.0"/>
        <n v="175.0"/>
        <n v="176.0"/>
        <n v="178.0"/>
        <n v="179.0"/>
        <n v="181.0"/>
        <n v="183.0"/>
        <n v="186.0"/>
        <n v="187.0"/>
        <n v="188.0"/>
        <n v="190.0"/>
        <n v="192.0"/>
        <n v="197.0"/>
        <n v="198.0"/>
        <n v="200.0"/>
        <n v="205.0"/>
        <n v="208.0"/>
        <n v="213.0"/>
        <n v="214.0"/>
        <n v="215.0"/>
        <n v="216.0"/>
        <n v="217.0"/>
        <n v="219.0"/>
        <n v="220.0"/>
        <n v="223.0"/>
        <n v="224.0"/>
        <n v="225.0"/>
        <n v="226.0"/>
        <n v="228.0"/>
        <n v="230.0"/>
        <n v="232.0"/>
        <n v="233.0"/>
        <n v="236.0"/>
        <n v="238.0"/>
        <n v="239.0"/>
        <n v="240.0"/>
        <n v="243.0"/>
        <n v="245.0"/>
        <n v="246.0"/>
        <n v="248.0"/>
        <n v="251.0"/>
        <n v="258.0"/>
        <n v="259.0"/>
        <n v="261.0"/>
        <n v="265.0"/>
        <n v="267.0"/>
        <n v="270.0"/>
        <n v="272.0"/>
        <n v="276.0"/>
        <n v="278.0"/>
        <n v="282.0"/>
        <n v="284.0"/>
        <n v="313.0"/>
        <n v="317.0"/>
        <n v="321.0"/>
        <n v="322.0"/>
        <n v="323.0"/>
        <n v="325.0"/>
        <n v="326.0"/>
        <n v="345.0"/>
        <n v="348.0"/>
        <n v="352.0"/>
        <n v="355.0"/>
        <n v="356.0"/>
        <n v="385.0"/>
      </sharedItems>
    </cacheField>
    <cacheField name="Status_Bayar" numFmtId="0">
      <sharedItems>
        <s v="Lunas"/>
        <s v="Tunggakan"/>
      </sharedItems>
    </cacheField>
    <cacheField name="Total_Tagihan" numFmtId="165">
      <sharedItems containsSemiMixedTypes="0" containsString="0" containsNumber="1" containsInteger="1">
        <n v="314792.0"/>
        <n v="25953.0"/>
        <n v="88084.0"/>
        <n v="83824.0"/>
        <n v="118408.0"/>
        <n v="49755.0"/>
        <n v="147288.0"/>
        <n v="66465.0"/>
        <n v="103362.0"/>
        <n v="72795.0"/>
        <n v="113988.0"/>
        <n v="75327.0"/>
        <n v="115920.0"/>
        <n v="170352.0"/>
        <n v="171704.0"/>
        <n v="183388.0"/>
        <n v="127512.0"/>
        <n v="192052.0"/>
        <n v="62665.0"/>
        <n v="80785.0"/>
        <n v="223820.0"/>
        <n v="225264.0"/>
        <n v="155526.0"/>
        <n v="86670.0"/>
        <n v="67230.0"/>
        <n v="235372.0"/>
        <n v="220376.0"/>
        <n v="87205.0"/>
        <n v="160356.0"/>
        <n v="164220.0"/>
        <n v="249812.0"/>
        <n v="93625.0"/>
        <n v="170016.0"/>
        <n v="257032.0"/>
        <n v="74285.0"/>
        <n v="258476.0"/>
        <n v="75115.0"/>
        <n v="174846.0"/>
        <n v="244712.0"/>
        <n v="75945.0"/>
        <n v="77190.0"/>
        <n v="77605.0"/>
        <n v="100580.0"/>
        <n v="256880.0"/>
        <n v="259584.0"/>
        <n v="81755.0"/>
        <n v="105930.0"/>
        <n v="193200.0"/>
        <n v="85075.0"/>
        <n v="200928.0"/>
        <n v="88395.0"/>
        <n v="113955.0"/>
        <n v="88810.0"/>
        <n v="89225.0"/>
        <n v="311904.0"/>
        <n v="209622.0"/>
        <n v="116630.0"/>
        <n v="90470.0"/>
        <n v="90885.0"/>
        <n v="297440.0"/>
        <n v="141159.0"/>
        <n v="322012.0"/>
        <n v="323456.0"/>
        <n v="120375.0"/>
        <n v="93375.0"/>
        <n v="217350.0"/>
        <n v="305552.0"/>
        <n v="143058.0"/>
        <n v="326344.0"/>
        <n v="94620.0"/>
        <n v="329232.0"/>
        <n v="310960.0"/>
        <n v="222180.0"/>
        <n v="146856.0"/>
        <n v="96695.0"/>
        <n v="336452.0"/>
        <n v="315016.0"/>
        <n v="149388.0"/>
        <n v="319072.0"/>
        <n v="150654.0"/>
        <n v="127865.0"/>
        <n v="99600.0"/>
        <n v="350892.0"/>
        <n v="236670.0"/>
        <n v="355224.0"/>
        <n v="335296.0"/>
        <n v="339352.0"/>
        <n v="242466.0"/>
        <n v="249228.0"/>
        <n v="250194.0"/>
        <n v="376884.0"/>
        <n v="352872.0"/>
        <n v="358280.0"/>
        <n v="110805.0"/>
        <n v="365040.0"/>
        <n v="170910.0"/>
        <n v="145520.0"/>
        <n v="147660.0"/>
        <n v="375856.0"/>
        <n v="178506.0"/>
        <n v="274344.0"/>
        <n v="302358.0"/>
        <n v="131555.0"/>
        <n v="133215.0"/>
        <n v="133630.0"/>
        <n v="466412.0"/>
        <n v="173875.0"/>
        <n v="174410.0"/>
        <n v="218385.0"/>
        <n v="220284.0"/>
        <n v="146080.0"/>
        <n v="189925.0"/>
        <n v="481312.0"/>
        <n v="24370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2. Data Validation" cacheId="0" dataCaption="" compact="0" compactData="0">
  <location ref="I8:J19" firstHeaderRow="0" firstDataRow="1" firstDataCol="0"/>
  <pivotFields>
    <pivotField name="ID_Transak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ID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ID_Layan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rea" axis="axisRow" compact="0" outline="0" multipleItemSelectionAllowed="1" showAll="0" sortType="ascending">
      <items>
        <item x="9"/>
        <item x="4"/>
        <item x="5"/>
        <item x="0"/>
        <item x="8"/>
        <item x="7"/>
        <item x="1"/>
        <item x="3"/>
        <item x="6"/>
        <item x="2"/>
        <item t="default"/>
      </items>
    </pivotField>
    <pivotField name="KWh_Terpaka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Status_Bayar" compact="0" outline="0" multipleItemSelectionAllowed="1" showAll="0">
      <items>
        <item x="0"/>
        <item x="1"/>
        <item x="2"/>
        <item t="default"/>
      </items>
    </pivotField>
  </pivotFields>
  <rowFields>
    <field x="4"/>
  </rowFields>
</pivotTableDefinition>
</file>

<file path=xl/pivotTables/pivotTable2.xml><?xml version="1.0" encoding="utf-8"?>
<pivotTableDefinition xmlns="http://schemas.openxmlformats.org/spreadsheetml/2006/main" name="3. Data Cleaning" cacheId="1" dataCaption="" compact="0" compactData="0">
  <location ref="I8:J16" firstHeaderRow="0" firstDataRow="1" firstDataCol="0"/>
  <pivotFields>
    <pivotField name="ID_Transak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ID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ID_Layan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rea" axis="axisRow" compact="0" outline="0" multipleItemSelectionAllowed="1" showAll="0" sortType="ascending">
      <items>
        <item x="6"/>
        <item x="0"/>
        <item x="4"/>
        <item x="3"/>
        <item x="1"/>
        <item x="5"/>
        <item x="2"/>
        <item t="default"/>
      </items>
    </pivotField>
    <pivotField name="KWh_Terpaka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tatus_Bayar" compact="0" outline="0" multipleItemSelectionAllowed="1" showAll="0">
      <items>
        <item x="0"/>
        <item x="1"/>
        <item x="2"/>
        <item t="default"/>
      </items>
    </pivotField>
  </pivotFields>
  <rowFields>
    <field x="4"/>
  </rowFields>
</pivotTableDefinition>
</file>

<file path=xl/pivotTables/pivotTable3.xml><?xml version="1.0" encoding="utf-8"?>
<pivotTableDefinition xmlns="http://schemas.openxmlformats.org/spreadsheetml/2006/main" name="Pivot Table 1" cacheId="2" dataCaption="" compact="0" compactData="0">
  <location ref="A3:B92" firstHeaderRow="0" firstDataRow="1" firstDataCol="0" rowPageCount="1" colPageCount="1"/>
  <pivotFields>
    <pivotField name="ID_Transak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D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Nama_Pelanggan" axis="axisRow" compact="0" outline="0" multipleItemSelectionAllowed="1" showAll="0" sortType="ascending">
      <items>
        <item x="39"/>
        <item x="81"/>
        <item x="16"/>
        <item x="12"/>
        <item x="47"/>
        <item x="68"/>
        <item x="77"/>
        <item x="13"/>
        <item x="40"/>
        <item x="49"/>
        <item x="28"/>
        <item x="4"/>
        <item x="78"/>
        <item x="18"/>
        <item x="42"/>
        <item x="33"/>
        <item x="65"/>
        <item x="67"/>
        <item x="69"/>
        <item x="86"/>
        <item x="53"/>
        <item x="83"/>
        <item x="50"/>
        <item x="6"/>
        <item x="85"/>
        <item x="84"/>
        <item x="8"/>
        <item x="9"/>
        <item x="10"/>
        <item x="20"/>
        <item x="66"/>
        <item x="56"/>
        <item x="21"/>
        <item x="58"/>
        <item x="14"/>
        <item x="64"/>
        <item x="31"/>
        <item x="36"/>
        <item x="54"/>
        <item x="87"/>
        <item x="19"/>
        <item x="37"/>
        <item x="62"/>
        <item x="71"/>
        <item x="27"/>
        <item x="43"/>
        <item x="17"/>
        <item x="5"/>
        <item x="15"/>
        <item x="82"/>
        <item x="34"/>
        <item x="74"/>
        <item x="46"/>
        <item x="3"/>
        <item x="41"/>
        <item x="79"/>
        <item x="52"/>
        <item x="70"/>
        <item x="0"/>
        <item x="48"/>
        <item x="24"/>
        <item x="30"/>
        <item x="44"/>
        <item x="32"/>
        <item x="2"/>
        <item x="73"/>
        <item x="7"/>
        <item x="35"/>
        <item x="38"/>
        <item x="57"/>
        <item x="26"/>
        <item x="11"/>
        <item x="60"/>
        <item x="45"/>
        <item x="29"/>
        <item x="61"/>
        <item x="1"/>
        <item x="51"/>
        <item x="55"/>
        <item x="72"/>
        <item x="75"/>
        <item x="63"/>
        <item x="76"/>
        <item x="23"/>
        <item x="59"/>
        <item x="80"/>
        <item x="25"/>
        <item x="22"/>
        <item t="default"/>
      </items>
    </pivotField>
    <pivotField name="Segmen_Pelanggan" compact="0" outline="0" multipleItemSelectionAllowed="1" showAll="0">
      <items>
        <item x="0"/>
        <item x="1"/>
        <item x="2"/>
        <item x="3"/>
        <item t="default"/>
      </items>
    </pivotField>
    <pivotField name="ID_Layan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ama_Layan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rif_per_KWH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Wh_Terpakai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Status_Bayar" compact="0" outline="0" multipleItemSelectionAllowed="1" showAll="0">
      <items>
        <item x="0"/>
        <item x="1"/>
        <item t="default"/>
      </items>
    </pivotField>
    <pivotField name="Total_Tagih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</pivotFields>
  <rowFields>
    <field x="3"/>
  </rowFields>
  <pageFields>
    <pageField fld="9"/>
  </pageFields>
  <dataFields>
    <dataField name="SUM of KWh_Terpakai" fld="9" baseField="0"/>
  </dataFields>
</pivotTableDefinition>
</file>

<file path=xl/pivotTables/pivotTable4.xml><?xml version="1.0" encoding="utf-8"?>
<pivotTableDefinition xmlns="http://schemas.openxmlformats.org/spreadsheetml/2006/main" name="Pivot Table 1 2" cacheId="2" dataCaption="" compact="0" compactData="0">
  <location ref="A97:D105" firstHeaderRow="0" firstDataRow="1" firstDataCol="1"/>
  <pivotFields>
    <pivotField name="ID_Transak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D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Nama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Segmen_Pelanggan" compact="0" outline="0" multipleItemSelectionAllowed="1" showAll="0">
      <items>
        <item x="0"/>
        <item x="1"/>
        <item x="2"/>
        <item x="3"/>
        <item t="default"/>
      </items>
    </pivotField>
    <pivotField name="ID_Layan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ama_Layan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rif_per_KWH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ea" axis="axisRow" compact="0" outline="0" multipleItemSelectionAllowed="1" showAll="0" sortType="ascending">
      <items>
        <item x="0"/>
        <item x="4"/>
        <item x="3"/>
        <item x="1"/>
        <item x="5"/>
        <item x="2"/>
        <item t="default"/>
      </items>
    </pivotField>
    <pivotField name="KWh_Terpaka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Status_Bayar" axis="axisCol" compact="0" outline="0" multipleItemSelectionAllowed="1" showAll="0" sortType="ascending">
      <items>
        <item x="0"/>
        <item x="1"/>
        <item t="default"/>
      </items>
    </pivotField>
    <pivotField name="Total_Tagih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</pivotFields>
  <rowFields>
    <field x="8"/>
  </rowFields>
  <colFields>
    <field x="10"/>
  </colFields>
  <dataFields>
    <dataField name="COUNTA of ID_Transaksi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9</v>
      </c>
      <c r="G1" s="1" t="s">
        <v>10</v>
      </c>
    </row>
    <row r="2">
      <c r="A2" s="1" t="s">
        <v>11</v>
      </c>
      <c r="B2" s="2">
        <v>46255.0</v>
      </c>
      <c r="C2" s="1" t="s">
        <v>14</v>
      </c>
      <c r="D2" s="1" t="s">
        <v>15</v>
      </c>
      <c r="F2" s="1">
        <v>239.0</v>
      </c>
      <c r="G2" s="1" t="s">
        <v>18</v>
      </c>
    </row>
    <row r="3">
      <c r="A3" s="1" t="s">
        <v>20</v>
      </c>
      <c r="B3" s="2">
        <v>46120.0</v>
      </c>
      <c r="C3" s="1" t="s">
        <v>22</v>
      </c>
      <c r="D3" s="1" t="s">
        <v>15</v>
      </c>
      <c r="E3" s="1" t="s">
        <v>23</v>
      </c>
      <c r="F3" s="1">
        <v>188.0</v>
      </c>
      <c r="G3" s="1" t="s">
        <v>18</v>
      </c>
    </row>
    <row r="4">
      <c r="A4" s="1" t="s">
        <v>24</v>
      </c>
      <c r="B4" s="2">
        <v>46030.0</v>
      </c>
      <c r="C4" s="1" t="s">
        <v>26</v>
      </c>
      <c r="D4" s="1" t="s">
        <v>17</v>
      </c>
      <c r="E4" s="1" t="s">
        <v>27</v>
      </c>
      <c r="F4" s="1">
        <v>251.0</v>
      </c>
      <c r="G4" s="1" t="s">
        <v>18</v>
      </c>
    </row>
    <row r="5">
      <c r="A5" s="1" t="s">
        <v>28</v>
      </c>
      <c r="B5" s="2">
        <v>46258.0</v>
      </c>
      <c r="C5" s="1" t="s">
        <v>29</v>
      </c>
      <c r="D5" s="1" t="s">
        <v>30</v>
      </c>
      <c r="E5" s="1" t="s">
        <v>31</v>
      </c>
      <c r="F5" s="1">
        <v>321.0</v>
      </c>
      <c r="G5" s="1" t="s">
        <v>18</v>
      </c>
    </row>
    <row r="6">
      <c r="A6" s="1" t="s">
        <v>32</v>
      </c>
      <c r="B6" s="2">
        <v>46273.0</v>
      </c>
      <c r="C6" s="1" t="s">
        <v>34</v>
      </c>
      <c r="D6" s="1" t="s">
        <v>30</v>
      </c>
      <c r="E6" s="1" t="s">
        <v>35</v>
      </c>
      <c r="F6" s="1">
        <v>181.0</v>
      </c>
      <c r="G6" s="1" t="s">
        <v>18</v>
      </c>
    </row>
    <row r="7">
      <c r="A7" s="1" t="s">
        <v>36</v>
      </c>
      <c r="B7" s="2">
        <v>46242.0</v>
      </c>
      <c r="C7" s="1" t="s">
        <v>37</v>
      </c>
      <c r="D7" s="1" t="s">
        <v>38</v>
      </c>
      <c r="E7" s="1" t="s">
        <v>23</v>
      </c>
      <c r="F7" s="1">
        <v>181.0</v>
      </c>
      <c r="G7" s="1" t="s">
        <v>18</v>
      </c>
    </row>
    <row r="8">
      <c r="A8" s="1" t="s">
        <v>39</v>
      </c>
      <c r="B8" s="2">
        <v>46242.0</v>
      </c>
      <c r="C8" s="1" t="s">
        <v>40</v>
      </c>
      <c r="D8" s="1" t="s">
        <v>15</v>
      </c>
      <c r="E8" s="1" t="s">
        <v>23</v>
      </c>
      <c r="F8" s="1">
        <v>326.0</v>
      </c>
      <c r="G8" s="1" t="s">
        <v>18</v>
      </c>
    </row>
    <row r="9">
      <c r="A9" s="1" t="s">
        <v>41</v>
      </c>
      <c r="B9" s="2">
        <v>46150.0</v>
      </c>
      <c r="C9" s="1" t="s">
        <v>42</v>
      </c>
      <c r="D9" s="1" t="s">
        <v>33</v>
      </c>
      <c r="E9" s="1" t="s">
        <v>35</v>
      </c>
      <c r="F9" s="1">
        <v>261.0</v>
      </c>
      <c r="G9" s="1" t="s">
        <v>18</v>
      </c>
    </row>
    <row r="10">
      <c r="A10" s="1" t="s">
        <v>43</v>
      </c>
      <c r="B10" s="2">
        <v>46303.0</v>
      </c>
      <c r="D10" s="1" t="s">
        <v>15</v>
      </c>
      <c r="E10" s="1" t="s">
        <v>27</v>
      </c>
      <c r="F10" s="1">
        <v>162.0</v>
      </c>
      <c r="G10" s="1" t="s">
        <v>18</v>
      </c>
    </row>
    <row r="11">
      <c r="A11" s="1" t="s">
        <v>44</v>
      </c>
      <c r="B11" s="2">
        <v>46257.0</v>
      </c>
      <c r="C11" s="1" t="s">
        <v>45</v>
      </c>
      <c r="D11" s="1" t="s">
        <v>33</v>
      </c>
      <c r="E11" s="1" t="s">
        <v>27</v>
      </c>
      <c r="F11" s="1">
        <v>243.0</v>
      </c>
      <c r="G11" s="1" t="s">
        <v>46</v>
      </c>
    </row>
    <row r="12">
      <c r="A12" s="1" t="s">
        <v>47</v>
      </c>
      <c r="B12" s="2">
        <v>46089.0</v>
      </c>
      <c r="C12" s="1" t="s">
        <v>49</v>
      </c>
      <c r="D12" s="1" t="s">
        <v>15</v>
      </c>
      <c r="E12" s="1" t="s">
        <v>19</v>
      </c>
      <c r="F12" s="1">
        <v>162.0</v>
      </c>
      <c r="G12" s="1" t="s">
        <v>18</v>
      </c>
    </row>
    <row r="13">
      <c r="A13" s="1" t="s">
        <v>52</v>
      </c>
      <c r="B13" s="2">
        <v>46256.0</v>
      </c>
      <c r="C13" s="1" t="s">
        <v>54</v>
      </c>
      <c r="D13" s="1" t="s">
        <v>30</v>
      </c>
      <c r="E13" s="1" t="s">
        <v>55</v>
      </c>
      <c r="F13" s="1">
        <v>162.0</v>
      </c>
      <c r="G13" s="1" t="s">
        <v>18</v>
      </c>
    </row>
    <row r="14">
      <c r="A14" s="1" t="s">
        <v>56</v>
      </c>
      <c r="B14" s="2">
        <v>46334.0</v>
      </c>
      <c r="C14" s="1" t="s">
        <v>57</v>
      </c>
      <c r="D14" s="1" t="s">
        <v>30</v>
      </c>
      <c r="E14" s="1" t="s">
        <v>55</v>
      </c>
      <c r="F14" s="1">
        <v>219.0</v>
      </c>
      <c r="G14" s="1" t="s">
        <v>18</v>
      </c>
    </row>
    <row r="15">
      <c r="A15" s="1" t="s">
        <v>58</v>
      </c>
      <c r="B15" s="2">
        <v>46256.0</v>
      </c>
      <c r="C15" s="1" t="s">
        <v>26</v>
      </c>
      <c r="D15" s="1" t="s">
        <v>51</v>
      </c>
      <c r="E15" s="1" t="s">
        <v>23</v>
      </c>
      <c r="F15" s="1">
        <v>41.0</v>
      </c>
      <c r="G15" s="1" t="s">
        <v>18</v>
      </c>
    </row>
    <row r="16">
      <c r="A16" s="1" t="s">
        <v>59</v>
      </c>
      <c r="B16" s="2">
        <v>46256.0</v>
      </c>
      <c r="C16" s="1" t="s">
        <v>60</v>
      </c>
      <c r="D16" s="1" t="s">
        <v>33</v>
      </c>
      <c r="E16" s="1" t="s">
        <v>27</v>
      </c>
      <c r="F16" s="1">
        <v>61.0</v>
      </c>
      <c r="G16" s="1" t="s">
        <v>18</v>
      </c>
    </row>
    <row r="17">
      <c r="A17" s="1" t="s">
        <v>61</v>
      </c>
      <c r="B17" s="2">
        <v>46248.0</v>
      </c>
      <c r="C17" s="1" t="s">
        <v>62</v>
      </c>
      <c r="D17" s="1" t="s">
        <v>33</v>
      </c>
      <c r="E17" s="1" t="s">
        <v>23</v>
      </c>
      <c r="F17" s="1">
        <v>155.0</v>
      </c>
      <c r="G17" s="1" t="s">
        <v>46</v>
      </c>
    </row>
    <row r="18">
      <c r="A18" s="1" t="s">
        <v>63</v>
      </c>
      <c r="B18" s="2">
        <v>46334.0</v>
      </c>
      <c r="C18" s="1" t="s">
        <v>64</v>
      </c>
      <c r="D18" s="1" t="s">
        <v>38</v>
      </c>
      <c r="E18" s="1" t="s">
        <v>23</v>
      </c>
      <c r="F18" s="1">
        <v>118.0</v>
      </c>
      <c r="G18" s="1" t="s">
        <v>18</v>
      </c>
    </row>
    <row r="19">
      <c r="A19" s="1" t="s">
        <v>67</v>
      </c>
      <c r="B19" s="2">
        <v>46251.0</v>
      </c>
      <c r="C19" s="1" t="s">
        <v>69</v>
      </c>
      <c r="D19" s="1" t="s">
        <v>15</v>
      </c>
      <c r="E19" s="1" t="s">
        <v>55</v>
      </c>
      <c r="F19" s="1">
        <v>225.0</v>
      </c>
      <c r="G19" s="1" t="s">
        <v>18</v>
      </c>
    </row>
    <row r="20">
      <c r="A20" s="1" t="s">
        <v>70</v>
      </c>
      <c r="B20" s="2">
        <v>46259.0</v>
      </c>
      <c r="C20" s="1" t="s">
        <v>71</v>
      </c>
      <c r="D20" s="1" t="s">
        <v>17</v>
      </c>
      <c r="E20" s="1" t="s">
        <v>23</v>
      </c>
      <c r="F20" s="1">
        <v>127.0</v>
      </c>
      <c r="G20" s="1" t="s">
        <v>18</v>
      </c>
    </row>
    <row r="21">
      <c r="A21" s="1" t="s">
        <v>72</v>
      </c>
      <c r="B21" s="2">
        <v>46030.0</v>
      </c>
      <c r="C21" s="1" t="s">
        <v>73</v>
      </c>
      <c r="D21" s="1" t="s">
        <v>17</v>
      </c>
      <c r="E21" s="1" t="s">
        <v>55</v>
      </c>
      <c r="F21" s="1">
        <v>62.0</v>
      </c>
      <c r="G21" s="1" t="s">
        <v>18</v>
      </c>
    </row>
    <row r="22">
      <c r="A22" s="1" t="s">
        <v>76</v>
      </c>
      <c r="B22" s="2">
        <v>46264.0</v>
      </c>
      <c r="C22" s="1" t="s">
        <v>78</v>
      </c>
      <c r="D22" s="1" t="s">
        <v>30</v>
      </c>
      <c r="E22" s="1" t="s">
        <v>27</v>
      </c>
      <c r="F22" s="1">
        <v>317.0</v>
      </c>
      <c r="G22" s="1" t="s">
        <v>18</v>
      </c>
    </row>
    <row r="23">
      <c r="A23" s="1" t="s">
        <v>79</v>
      </c>
      <c r="B23" s="2">
        <v>46248.0</v>
      </c>
      <c r="C23" s="1" t="s">
        <v>80</v>
      </c>
      <c r="D23" s="1" t="s">
        <v>17</v>
      </c>
      <c r="E23" s="1" t="s">
        <v>82</v>
      </c>
      <c r="F23" s="1">
        <v>181.0</v>
      </c>
      <c r="G23" s="1" t="s">
        <v>18</v>
      </c>
    </row>
    <row r="24">
      <c r="A24" s="1" t="s">
        <v>83</v>
      </c>
      <c r="B24" s="2">
        <v>46211.0</v>
      </c>
      <c r="C24" s="1" t="s">
        <v>84</v>
      </c>
      <c r="D24" s="1" t="s">
        <v>30</v>
      </c>
      <c r="E24" s="1" t="s">
        <v>55</v>
      </c>
      <c r="F24" s="1">
        <v>205.0</v>
      </c>
      <c r="G24" s="1" t="s">
        <v>18</v>
      </c>
    </row>
    <row r="25">
      <c r="A25" s="1" t="s">
        <v>85</v>
      </c>
      <c r="B25" s="2">
        <v>46248.0</v>
      </c>
      <c r="C25" s="1" t="s">
        <v>86</v>
      </c>
      <c r="D25" s="1" t="s">
        <v>38</v>
      </c>
      <c r="E25" s="1" t="s">
        <v>27</v>
      </c>
      <c r="F25" s="1">
        <v>132.0</v>
      </c>
      <c r="G25" s="1" t="s">
        <v>46</v>
      </c>
    </row>
    <row r="26">
      <c r="A26" s="1" t="s">
        <v>87</v>
      </c>
      <c r="B26" s="2">
        <v>46257.0</v>
      </c>
      <c r="C26" s="1" t="s">
        <v>88</v>
      </c>
      <c r="D26" s="1" t="s">
        <v>33</v>
      </c>
      <c r="F26" s="1">
        <v>156.0</v>
      </c>
      <c r="G26" s="1" t="s">
        <v>18</v>
      </c>
    </row>
    <row r="27">
      <c r="A27" s="1" t="s">
        <v>89</v>
      </c>
      <c r="B27" s="2">
        <v>46334.0</v>
      </c>
      <c r="C27" s="1" t="s">
        <v>90</v>
      </c>
      <c r="D27" s="1" t="s">
        <v>38</v>
      </c>
      <c r="E27" s="1" t="s">
        <v>23</v>
      </c>
      <c r="F27" s="1">
        <v>208.0</v>
      </c>
      <c r="G27" s="1" t="s">
        <v>18</v>
      </c>
    </row>
    <row r="28">
      <c r="A28" s="1" t="s">
        <v>91</v>
      </c>
      <c r="B28" s="2">
        <v>46242.0</v>
      </c>
      <c r="C28" s="1" t="s">
        <v>92</v>
      </c>
      <c r="D28" s="1" t="s">
        <v>38</v>
      </c>
      <c r="E28" s="1" t="s">
        <v>19</v>
      </c>
      <c r="F28" s="1">
        <v>107.0</v>
      </c>
      <c r="G28" s="1" t="s">
        <v>18</v>
      </c>
    </row>
    <row r="29">
      <c r="A29" s="1" t="s">
        <v>93</v>
      </c>
      <c r="B29" s="2">
        <v>46263.0</v>
      </c>
      <c r="C29" s="1" t="s">
        <v>94</v>
      </c>
      <c r="D29" s="1" t="s">
        <v>17</v>
      </c>
      <c r="E29" s="1" t="s">
        <v>55</v>
      </c>
      <c r="F29" s="1">
        <v>230.0</v>
      </c>
      <c r="G29" s="1" t="s">
        <v>18</v>
      </c>
    </row>
    <row r="30">
      <c r="A30" s="1" t="s">
        <v>97</v>
      </c>
      <c r="B30" s="2">
        <v>46254.0</v>
      </c>
      <c r="C30" s="1" t="s">
        <v>98</v>
      </c>
      <c r="D30" s="1" t="s">
        <v>30</v>
      </c>
      <c r="E30" s="1" t="s">
        <v>23</v>
      </c>
      <c r="F30" s="1">
        <v>151.0</v>
      </c>
      <c r="G30" s="1" t="s">
        <v>18</v>
      </c>
    </row>
    <row r="31">
      <c r="A31" s="1" t="s">
        <v>99</v>
      </c>
      <c r="B31" s="2">
        <v>46262.0</v>
      </c>
      <c r="C31" s="1" t="s">
        <v>100</v>
      </c>
      <c r="D31" s="1" t="s">
        <v>38</v>
      </c>
      <c r="E31" s="1" t="s">
        <v>55</v>
      </c>
      <c r="F31" s="1">
        <v>176.0</v>
      </c>
      <c r="G31" s="1" t="s">
        <v>46</v>
      </c>
    </row>
    <row r="32">
      <c r="A32" s="1" t="s">
        <v>102</v>
      </c>
      <c r="B32" s="2">
        <v>46257.0</v>
      </c>
      <c r="C32" s="1" t="s">
        <v>105</v>
      </c>
      <c r="D32" s="1" t="s">
        <v>15</v>
      </c>
      <c r="E32" s="1" t="s">
        <v>19</v>
      </c>
      <c r="F32" s="1">
        <v>151.0</v>
      </c>
      <c r="G32" s="1" t="s">
        <v>18</v>
      </c>
    </row>
    <row r="33">
      <c r="A33" s="1" t="s">
        <v>103</v>
      </c>
      <c r="B33" s="2">
        <v>46257.0</v>
      </c>
      <c r="C33" s="1" t="s">
        <v>104</v>
      </c>
      <c r="D33" s="1" t="s">
        <v>51</v>
      </c>
      <c r="E33" s="1" t="s">
        <v>77</v>
      </c>
      <c r="F33" s="1">
        <v>348.0</v>
      </c>
      <c r="G33" s="1" t="s">
        <v>18</v>
      </c>
    </row>
    <row r="34">
      <c r="A34" s="1" t="s">
        <v>107</v>
      </c>
      <c r="B34" s="2">
        <v>46260.0</v>
      </c>
      <c r="C34" s="1" t="s">
        <v>109</v>
      </c>
      <c r="D34" s="1" t="s">
        <v>15</v>
      </c>
      <c r="E34" s="1" t="s">
        <v>55</v>
      </c>
      <c r="F34" s="1">
        <v>198.0</v>
      </c>
      <c r="G34" s="1" t="s">
        <v>18</v>
      </c>
    </row>
    <row r="35">
      <c r="A35" s="1" t="s">
        <v>111</v>
      </c>
      <c r="B35" s="2">
        <v>46252.0</v>
      </c>
      <c r="C35" s="1" t="s">
        <v>112</v>
      </c>
      <c r="D35" s="1" t="s">
        <v>51</v>
      </c>
      <c r="E35" s="1" t="s">
        <v>35</v>
      </c>
      <c r="F35" s="1">
        <v>115.0</v>
      </c>
      <c r="G35" s="1" t="s">
        <v>46</v>
      </c>
    </row>
    <row r="36">
      <c r="A36" s="1" t="s">
        <v>113</v>
      </c>
      <c r="B36" s="2">
        <v>46030.0</v>
      </c>
      <c r="C36" s="1" t="s">
        <v>114</v>
      </c>
      <c r="D36" s="1" t="s">
        <v>17</v>
      </c>
      <c r="E36" s="1" t="s">
        <v>23</v>
      </c>
      <c r="F36" s="1">
        <v>265.0</v>
      </c>
      <c r="G36" s="1" t="s">
        <v>46</v>
      </c>
    </row>
    <row r="37">
      <c r="A37" s="1" t="s">
        <v>115</v>
      </c>
      <c r="B37" s="2">
        <v>46254.0</v>
      </c>
      <c r="C37" s="1" t="s">
        <v>116</v>
      </c>
      <c r="D37" s="1" t="s">
        <v>33</v>
      </c>
      <c r="E37" s="1" t="s">
        <v>35</v>
      </c>
      <c r="F37" s="1">
        <v>102.0</v>
      </c>
      <c r="G37" s="1" t="s">
        <v>18</v>
      </c>
    </row>
    <row r="38">
      <c r="A38" s="1" t="s">
        <v>117</v>
      </c>
      <c r="B38" s="2">
        <v>46263.0</v>
      </c>
      <c r="C38" s="1" t="s">
        <v>118</v>
      </c>
      <c r="D38" s="1" t="s">
        <v>33</v>
      </c>
      <c r="E38" s="1" t="s">
        <v>35</v>
      </c>
      <c r="F38" s="1">
        <v>216.0</v>
      </c>
      <c r="G38" s="1" t="s">
        <v>18</v>
      </c>
    </row>
    <row r="39">
      <c r="A39" s="1" t="s">
        <v>65</v>
      </c>
      <c r="B39" s="2">
        <v>46253.0</v>
      </c>
      <c r="C39" s="1" t="s">
        <v>66</v>
      </c>
      <c r="D39" s="1" t="s">
        <v>17</v>
      </c>
      <c r="E39" s="1" t="s">
        <v>19</v>
      </c>
      <c r="F39" s="1">
        <v>356.0</v>
      </c>
      <c r="G39" s="1" t="s">
        <v>18</v>
      </c>
    </row>
    <row r="40">
      <c r="A40" s="1" t="s">
        <v>119</v>
      </c>
      <c r="B40" s="2">
        <v>46030.0</v>
      </c>
      <c r="C40" s="1" t="s">
        <v>120</v>
      </c>
      <c r="D40" s="1" t="s">
        <v>15</v>
      </c>
      <c r="E40" s="1" t="s">
        <v>55</v>
      </c>
      <c r="F40" s="1">
        <v>93.0</v>
      </c>
      <c r="G40" s="1" t="s">
        <v>18</v>
      </c>
    </row>
    <row r="41">
      <c r="A41" s="1" t="s">
        <v>121</v>
      </c>
      <c r="B41" s="2">
        <v>46334.0</v>
      </c>
      <c r="C41" s="1" t="s">
        <v>122</v>
      </c>
      <c r="D41" s="1" t="s">
        <v>30</v>
      </c>
      <c r="E41" s="1" t="s">
        <v>23</v>
      </c>
      <c r="F41" s="1">
        <v>215.0</v>
      </c>
      <c r="G41" s="1" t="s">
        <v>18</v>
      </c>
    </row>
    <row r="42">
      <c r="A42" s="1" t="s">
        <v>123</v>
      </c>
      <c r="B42" s="2">
        <v>46254.0</v>
      </c>
      <c r="C42" s="1" t="s">
        <v>124</v>
      </c>
      <c r="D42" s="1" t="s">
        <v>38</v>
      </c>
      <c r="E42" s="1" t="s">
        <v>27</v>
      </c>
      <c r="F42" s="1">
        <v>258.0</v>
      </c>
      <c r="G42" s="1" t="s">
        <v>18</v>
      </c>
    </row>
    <row r="43">
      <c r="A43" s="1" t="s">
        <v>125</v>
      </c>
      <c r="B43" s="2">
        <v>46256.0</v>
      </c>
      <c r="C43" s="1" t="s">
        <v>126</v>
      </c>
      <c r="D43" s="1" t="s">
        <v>30</v>
      </c>
      <c r="E43" s="1" t="s">
        <v>27</v>
      </c>
      <c r="F43" s="1">
        <v>213.0</v>
      </c>
      <c r="G43" s="1" t="s">
        <v>18</v>
      </c>
    </row>
    <row r="44">
      <c r="A44" s="1" t="s">
        <v>127</v>
      </c>
      <c r="B44" s="2">
        <v>46248.0</v>
      </c>
      <c r="D44" s="1" t="s">
        <v>17</v>
      </c>
      <c r="E44" s="1" t="s">
        <v>35</v>
      </c>
      <c r="F44" s="1">
        <v>190.0</v>
      </c>
      <c r="G44" s="1" t="s">
        <v>18</v>
      </c>
    </row>
    <row r="45">
      <c r="A45" s="1" t="s">
        <v>128</v>
      </c>
      <c r="B45" s="2">
        <v>46256.0</v>
      </c>
      <c r="C45" s="1" t="s">
        <v>129</v>
      </c>
      <c r="D45" s="1" t="s">
        <v>15</v>
      </c>
      <c r="E45" s="1" t="s">
        <v>55</v>
      </c>
      <c r="F45" s="1">
        <v>175.0</v>
      </c>
      <c r="G45" s="1" t="s">
        <v>18</v>
      </c>
    </row>
    <row r="46">
      <c r="A46" s="1" t="s">
        <v>130</v>
      </c>
      <c r="B46" s="2">
        <v>46263.0</v>
      </c>
      <c r="C46" s="1" t="s">
        <v>131</v>
      </c>
      <c r="D46" s="1" t="s">
        <v>33</v>
      </c>
      <c r="E46" s="1" t="s">
        <v>19</v>
      </c>
      <c r="F46" s="1">
        <v>163.0</v>
      </c>
      <c r="G46" s="1" t="s">
        <v>18</v>
      </c>
    </row>
    <row r="47">
      <c r="A47" s="1" t="s">
        <v>132</v>
      </c>
      <c r="B47" s="2">
        <v>46257.0</v>
      </c>
      <c r="C47" s="1" t="s">
        <v>134</v>
      </c>
      <c r="D47" s="1" t="s">
        <v>51</v>
      </c>
      <c r="F47" s="1">
        <v>223.0</v>
      </c>
      <c r="G47" s="1" t="s">
        <v>18</v>
      </c>
    </row>
    <row r="48">
      <c r="A48" s="1" t="s">
        <v>136</v>
      </c>
      <c r="B48" s="2">
        <v>46249.0</v>
      </c>
      <c r="C48" s="1" t="s">
        <v>137</v>
      </c>
      <c r="D48" s="1" t="s">
        <v>51</v>
      </c>
      <c r="E48" s="1" t="s">
        <v>23</v>
      </c>
      <c r="F48" s="1">
        <v>236.0</v>
      </c>
      <c r="G48" s="1" t="s">
        <v>18</v>
      </c>
    </row>
    <row r="49">
      <c r="A49" s="1" t="s">
        <v>140</v>
      </c>
      <c r="B49" s="2">
        <v>46030.0</v>
      </c>
      <c r="C49" s="1" t="s">
        <v>141</v>
      </c>
      <c r="D49" s="1" t="s">
        <v>38</v>
      </c>
      <c r="E49" s="1" t="s">
        <v>19</v>
      </c>
      <c r="F49" s="1">
        <v>284.0</v>
      </c>
      <c r="G49" s="1" t="s">
        <v>18</v>
      </c>
    </row>
    <row r="50">
      <c r="A50" s="1" t="s">
        <v>142</v>
      </c>
      <c r="B50" s="2">
        <v>46249.0</v>
      </c>
      <c r="C50" s="1" t="s">
        <v>143</v>
      </c>
      <c r="D50" s="1" t="s">
        <v>33</v>
      </c>
      <c r="E50" s="1" t="s">
        <v>55</v>
      </c>
      <c r="F50" s="1">
        <v>173.0</v>
      </c>
      <c r="G50" s="1" t="s">
        <v>18</v>
      </c>
    </row>
    <row r="51">
      <c r="A51" s="1" t="s">
        <v>144</v>
      </c>
      <c r="B51" s="2">
        <v>46211.0</v>
      </c>
      <c r="C51" s="1" t="s">
        <v>145</v>
      </c>
      <c r="D51" s="1" t="s">
        <v>38</v>
      </c>
      <c r="E51" s="1" t="s">
        <v>55</v>
      </c>
      <c r="F51" s="1">
        <v>170.0</v>
      </c>
      <c r="G51" s="1" t="s">
        <v>18</v>
      </c>
    </row>
    <row r="52">
      <c r="A52" s="1" t="s">
        <v>146</v>
      </c>
      <c r="B52" s="2">
        <v>46247.0</v>
      </c>
      <c r="C52" s="1" t="s">
        <v>147</v>
      </c>
      <c r="D52" s="1" t="s">
        <v>30</v>
      </c>
      <c r="E52" s="1" t="s">
        <v>23</v>
      </c>
      <c r="F52" s="1">
        <v>225.0</v>
      </c>
      <c r="G52" s="1" t="s">
        <v>46</v>
      </c>
    </row>
    <row r="53">
      <c r="A53" s="1" t="s">
        <v>148</v>
      </c>
      <c r="B53" s="2">
        <v>46258.0</v>
      </c>
      <c r="C53" s="1" t="s">
        <v>149</v>
      </c>
      <c r="D53" s="1" t="s">
        <v>30</v>
      </c>
      <c r="E53" s="1" t="s">
        <v>23</v>
      </c>
      <c r="F53" s="1">
        <v>228.0</v>
      </c>
      <c r="G53" s="1" t="s">
        <v>18</v>
      </c>
    </row>
    <row r="54">
      <c r="A54" s="1" t="s">
        <v>12</v>
      </c>
      <c r="B54" s="2">
        <v>46120.0</v>
      </c>
      <c r="C54" s="1" t="s">
        <v>21</v>
      </c>
      <c r="D54" s="1" t="s">
        <v>33</v>
      </c>
      <c r="E54" s="1" t="s">
        <v>35</v>
      </c>
      <c r="F54" s="1">
        <v>-50.0</v>
      </c>
      <c r="G54" s="1" t="s">
        <v>18</v>
      </c>
    </row>
    <row r="55">
      <c r="A55" s="1" t="s">
        <v>151</v>
      </c>
      <c r="B55" s="2">
        <v>46250.0</v>
      </c>
      <c r="C55" s="1" t="s">
        <v>152</v>
      </c>
      <c r="D55" s="1" t="s">
        <v>38</v>
      </c>
      <c r="E55" s="1" t="s">
        <v>55</v>
      </c>
      <c r="F55" s="1">
        <v>230.0</v>
      </c>
      <c r="G55" s="1" t="s">
        <v>18</v>
      </c>
    </row>
    <row r="56">
      <c r="A56" s="1" t="s">
        <v>153</v>
      </c>
      <c r="B56" s="2">
        <v>46273.0</v>
      </c>
      <c r="C56" s="1" t="s">
        <v>154</v>
      </c>
      <c r="D56" s="1" t="s">
        <v>51</v>
      </c>
      <c r="E56" s="1" t="s">
        <v>23</v>
      </c>
      <c r="F56" s="1">
        <v>232.0</v>
      </c>
      <c r="G56" s="1" t="s">
        <v>18</v>
      </c>
    </row>
    <row r="57">
      <c r="A57" s="1" t="s">
        <v>155</v>
      </c>
      <c r="B57" s="2">
        <v>46255.0</v>
      </c>
      <c r="C57" s="1" t="s">
        <v>156</v>
      </c>
      <c r="D57" s="1" t="s">
        <v>33</v>
      </c>
      <c r="E57" s="1" t="s">
        <v>19</v>
      </c>
      <c r="F57" s="1">
        <v>224.0</v>
      </c>
      <c r="G57" s="1" t="s">
        <v>18</v>
      </c>
    </row>
    <row r="58">
      <c r="A58" s="1" t="s">
        <v>157</v>
      </c>
      <c r="B58" s="2">
        <v>46255.0</v>
      </c>
      <c r="C58" s="1" t="s">
        <v>158</v>
      </c>
      <c r="D58" s="1" t="s">
        <v>30</v>
      </c>
      <c r="E58" s="1" t="s">
        <v>27</v>
      </c>
      <c r="F58" s="1">
        <v>267.0</v>
      </c>
      <c r="G58" s="1" t="s">
        <v>46</v>
      </c>
    </row>
    <row r="59">
      <c r="A59" s="1" t="s">
        <v>160</v>
      </c>
      <c r="B59" s="2">
        <v>46334.0</v>
      </c>
      <c r="C59" s="1" t="s">
        <v>161</v>
      </c>
      <c r="D59" s="1" t="s">
        <v>38</v>
      </c>
      <c r="E59" s="1" t="s">
        <v>35</v>
      </c>
      <c r="F59" s="1">
        <v>161.0</v>
      </c>
      <c r="G59" s="1" t="s">
        <v>18</v>
      </c>
    </row>
    <row r="60">
      <c r="A60" s="1" t="s">
        <v>162</v>
      </c>
      <c r="B60" s="2">
        <v>46254.0</v>
      </c>
      <c r="C60" s="1" t="s">
        <v>163</v>
      </c>
      <c r="D60" s="1" t="s">
        <v>17</v>
      </c>
      <c r="E60" s="1" t="s">
        <v>55</v>
      </c>
      <c r="F60" s="1">
        <v>226.0</v>
      </c>
      <c r="G60" s="1" t="s">
        <v>18</v>
      </c>
    </row>
    <row r="61">
      <c r="A61" s="1" t="s">
        <v>164</v>
      </c>
      <c r="B61" s="2">
        <v>46211.0</v>
      </c>
      <c r="C61" s="1" t="s">
        <v>165</v>
      </c>
      <c r="D61" s="1" t="s">
        <v>17</v>
      </c>
      <c r="E61" s="1" t="s">
        <v>55</v>
      </c>
      <c r="F61" s="1">
        <v>278.0</v>
      </c>
      <c r="G61" s="1" t="s">
        <v>46</v>
      </c>
    </row>
    <row r="62">
      <c r="A62" s="1" t="s">
        <v>166</v>
      </c>
      <c r="B62" s="2">
        <v>46120.0</v>
      </c>
      <c r="C62" s="1" t="s">
        <v>167</v>
      </c>
      <c r="D62" s="1" t="s">
        <v>15</v>
      </c>
      <c r="F62" s="1">
        <v>272.0</v>
      </c>
      <c r="G62" s="1" t="s">
        <v>18</v>
      </c>
    </row>
    <row r="63">
      <c r="A63" s="1" t="s">
        <v>168</v>
      </c>
      <c r="B63" s="2">
        <v>46211.0</v>
      </c>
      <c r="C63" s="1" t="s">
        <v>169</v>
      </c>
      <c r="D63" s="1" t="s">
        <v>30</v>
      </c>
      <c r="E63" s="1" t="s">
        <v>19</v>
      </c>
      <c r="F63" s="1">
        <v>214.0</v>
      </c>
      <c r="G63" s="1" t="s">
        <v>18</v>
      </c>
    </row>
    <row r="64">
      <c r="A64" s="1" t="s">
        <v>170</v>
      </c>
      <c r="B64" s="2">
        <v>46030.0</v>
      </c>
      <c r="D64" s="1" t="s">
        <v>33</v>
      </c>
      <c r="E64" s="1" t="s">
        <v>55</v>
      </c>
      <c r="F64" s="1">
        <v>223.0</v>
      </c>
      <c r="G64" s="1" t="s">
        <v>18</v>
      </c>
    </row>
    <row r="65">
      <c r="A65" s="1" t="s">
        <v>171</v>
      </c>
      <c r="B65" s="2">
        <v>46259.0</v>
      </c>
      <c r="C65" s="1" t="s">
        <v>172</v>
      </c>
      <c r="D65" s="1" t="s">
        <v>30</v>
      </c>
      <c r="E65" s="1" t="s">
        <v>23</v>
      </c>
      <c r="F65" s="1">
        <v>183.0</v>
      </c>
      <c r="G65" s="1" t="s">
        <v>18</v>
      </c>
    </row>
    <row r="66">
      <c r="A66" s="1" t="s">
        <v>173</v>
      </c>
      <c r="B66" s="2">
        <v>46258.0</v>
      </c>
      <c r="C66" s="1" t="s">
        <v>174</v>
      </c>
      <c r="D66" s="1" t="s">
        <v>51</v>
      </c>
      <c r="E66" s="1" t="s">
        <v>19</v>
      </c>
      <c r="F66" s="1">
        <v>226.0</v>
      </c>
      <c r="G66" s="1" t="s">
        <v>18</v>
      </c>
    </row>
    <row r="67">
      <c r="A67" s="1" t="s">
        <v>74</v>
      </c>
      <c r="B67" s="2">
        <v>46262.0</v>
      </c>
      <c r="C67" s="1" t="s">
        <v>75</v>
      </c>
      <c r="D67" s="1" t="s">
        <v>15</v>
      </c>
      <c r="E67" s="1" t="s">
        <v>77</v>
      </c>
      <c r="F67" s="1">
        <v>355.0</v>
      </c>
      <c r="G67" s="1" t="s">
        <v>18</v>
      </c>
    </row>
    <row r="68">
      <c r="A68" s="1" t="s">
        <v>175</v>
      </c>
      <c r="B68" s="2">
        <v>46250.0</v>
      </c>
      <c r="C68" s="1" t="s">
        <v>176</v>
      </c>
      <c r="D68" s="1" t="s">
        <v>15</v>
      </c>
      <c r="E68" s="1" t="s">
        <v>23</v>
      </c>
      <c r="F68" s="1">
        <v>276.0</v>
      </c>
      <c r="G68" s="1" t="s">
        <v>18</v>
      </c>
    </row>
    <row r="69">
      <c r="A69" s="1" t="s">
        <v>178</v>
      </c>
      <c r="B69" s="2">
        <v>46273.0</v>
      </c>
      <c r="C69" s="1" t="s">
        <v>179</v>
      </c>
      <c r="D69" s="1" t="s">
        <v>30</v>
      </c>
      <c r="E69" s="1" t="s">
        <v>23</v>
      </c>
      <c r="F69" s="1">
        <v>233.0</v>
      </c>
      <c r="G69" s="1" t="s">
        <v>46</v>
      </c>
    </row>
    <row r="70">
      <c r="A70" s="1" t="s">
        <v>180</v>
      </c>
      <c r="B70" s="2">
        <v>46120.0</v>
      </c>
      <c r="C70" s="1" t="s">
        <v>181</v>
      </c>
      <c r="D70" s="1" t="s">
        <v>33</v>
      </c>
      <c r="E70" s="1" t="s">
        <v>55</v>
      </c>
      <c r="F70" s="1">
        <v>127.0</v>
      </c>
      <c r="G70" s="1" t="s">
        <v>18</v>
      </c>
    </row>
    <row r="71">
      <c r="A71" s="1" t="s">
        <v>182</v>
      </c>
      <c r="B71" s="2">
        <v>46181.0</v>
      </c>
      <c r="C71" s="1" t="s">
        <v>183</v>
      </c>
      <c r="D71" s="1" t="s">
        <v>38</v>
      </c>
      <c r="E71" s="1" t="s">
        <v>19</v>
      </c>
      <c r="F71" s="1">
        <v>120.0</v>
      </c>
      <c r="G71" s="1" t="s">
        <v>46</v>
      </c>
    </row>
    <row r="72">
      <c r="A72" s="1" t="s">
        <v>184</v>
      </c>
      <c r="B72" s="2">
        <v>46181.0</v>
      </c>
      <c r="C72" s="1" t="s">
        <v>185</v>
      </c>
      <c r="D72" s="1" t="s">
        <v>17</v>
      </c>
      <c r="E72" s="1" t="s">
        <v>27</v>
      </c>
      <c r="F72" s="1">
        <v>126.0</v>
      </c>
      <c r="G72" s="1" t="s">
        <v>18</v>
      </c>
    </row>
    <row r="73">
      <c r="A73" s="1" t="s">
        <v>186</v>
      </c>
      <c r="B73" s="2">
        <v>46255.0</v>
      </c>
      <c r="C73" s="1" t="s">
        <v>124</v>
      </c>
      <c r="D73" s="1" t="s">
        <v>15</v>
      </c>
      <c r="E73" s="1" t="s">
        <v>23</v>
      </c>
      <c r="F73" s="1">
        <v>218.0</v>
      </c>
      <c r="G73" s="1" t="s">
        <v>18</v>
      </c>
    </row>
    <row r="74">
      <c r="A74" s="1" t="s">
        <v>187</v>
      </c>
      <c r="B74" s="2">
        <v>46254.0</v>
      </c>
      <c r="C74" s="1" t="s">
        <v>188</v>
      </c>
      <c r="D74" s="1" t="s">
        <v>15</v>
      </c>
      <c r="E74" s="1" t="s">
        <v>35</v>
      </c>
      <c r="F74" s="1">
        <v>326.0</v>
      </c>
      <c r="G74" s="1" t="s">
        <v>46</v>
      </c>
    </row>
    <row r="75">
      <c r="A75" s="1" t="s">
        <v>189</v>
      </c>
      <c r="B75" s="2">
        <v>46364.0</v>
      </c>
      <c r="C75" s="1" t="s">
        <v>190</v>
      </c>
      <c r="D75" s="1" t="s">
        <v>33</v>
      </c>
      <c r="E75" s="1" t="s">
        <v>27</v>
      </c>
      <c r="F75" s="1">
        <v>246.0</v>
      </c>
      <c r="G75" s="1" t="s">
        <v>18</v>
      </c>
    </row>
    <row r="76">
      <c r="A76" s="1" t="s">
        <v>191</v>
      </c>
      <c r="B76" s="2">
        <v>46251.0</v>
      </c>
      <c r="C76" s="1" t="s">
        <v>192</v>
      </c>
      <c r="D76" s="1" t="s">
        <v>30</v>
      </c>
      <c r="E76" s="1" t="s">
        <v>23</v>
      </c>
      <c r="F76" s="1">
        <v>187.0</v>
      </c>
      <c r="G76" s="1" t="s">
        <v>18</v>
      </c>
    </row>
    <row r="77">
      <c r="A77" s="1" t="s">
        <v>193</v>
      </c>
      <c r="B77" s="2">
        <v>46030.0</v>
      </c>
      <c r="C77" s="1" t="s">
        <v>195</v>
      </c>
      <c r="D77" s="1" t="s">
        <v>38</v>
      </c>
      <c r="E77" s="1" t="s">
        <v>35</v>
      </c>
      <c r="F77" s="1">
        <v>166.0</v>
      </c>
      <c r="G77" s="1" t="s">
        <v>18</v>
      </c>
    </row>
    <row r="78">
      <c r="A78" s="1" t="s">
        <v>194</v>
      </c>
      <c r="B78" s="2">
        <v>46263.0</v>
      </c>
      <c r="C78" s="1" t="s">
        <v>196</v>
      </c>
      <c r="D78" s="1" t="s">
        <v>51</v>
      </c>
      <c r="E78" s="1" t="s">
        <v>23</v>
      </c>
      <c r="F78" s="1">
        <v>105.0</v>
      </c>
      <c r="G78" s="1" t="s">
        <v>46</v>
      </c>
    </row>
    <row r="79">
      <c r="A79" s="1" t="s">
        <v>197</v>
      </c>
      <c r="B79" s="2">
        <v>46150.0</v>
      </c>
      <c r="C79" s="1" t="s">
        <v>198</v>
      </c>
      <c r="D79" s="1" t="s">
        <v>30</v>
      </c>
      <c r="F79" s="1">
        <v>218.0</v>
      </c>
      <c r="G79" s="1" t="s">
        <v>18</v>
      </c>
    </row>
    <row r="80">
      <c r="A80" s="1" t="s">
        <v>199</v>
      </c>
      <c r="B80" s="2">
        <v>46181.0</v>
      </c>
      <c r="C80" s="1" t="s">
        <v>200</v>
      </c>
      <c r="D80" s="1" t="s">
        <v>30</v>
      </c>
      <c r="E80" s="1" t="s">
        <v>23</v>
      </c>
      <c r="F80" s="1">
        <v>186.0</v>
      </c>
      <c r="G80" s="1" t="s">
        <v>18</v>
      </c>
    </row>
    <row r="81">
      <c r="A81" s="1" t="s">
        <v>201</v>
      </c>
      <c r="B81" s="2">
        <v>46252.0</v>
      </c>
      <c r="C81" s="1" t="s">
        <v>202</v>
      </c>
      <c r="D81" s="1" t="s">
        <v>33</v>
      </c>
      <c r="E81" s="1" t="s">
        <v>35</v>
      </c>
      <c r="F81" s="1">
        <v>233.0</v>
      </c>
      <c r="G81" s="1" t="s">
        <v>18</v>
      </c>
    </row>
    <row r="82">
      <c r="A82" s="1" t="s">
        <v>203</v>
      </c>
      <c r="B82" s="2">
        <v>46260.0</v>
      </c>
      <c r="C82" s="1" t="s">
        <v>204</v>
      </c>
      <c r="D82" s="1" t="s">
        <v>15</v>
      </c>
      <c r="E82" s="1" t="s">
        <v>35</v>
      </c>
      <c r="F82" s="1">
        <v>213.0</v>
      </c>
      <c r="G82" s="1" t="s">
        <v>18</v>
      </c>
    </row>
    <row r="83">
      <c r="A83" s="1" t="s">
        <v>205</v>
      </c>
      <c r="B83" s="2">
        <v>46120.0</v>
      </c>
      <c r="C83" s="1" t="s">
        <v>45</v>
      </c>
      <c r="D83" s="1" t="s">
        <v>33</v>
      </c>
      <c r="E83" s="1" t="s">
        <v>19</v>
      </c>
      <c r="F83" s="1">
        <v>133.0</v>
      </c>
      <c r="G83" s="1" t="s">
        <v>18</v>
      </c>
    </row>
    <row r="84">
      <c r="A84" s="1" t="s">
        <v>206</v>
      </c>
      <c r="B84" s="2">
        <v>46255.0</v>
      </c>
      <c r="C84" s="1" t="s">
        <v>207</v>
      </c>
      <c r="D84" s="1" t="s">
        <v>33</v>
      </c>
      <c r="E84" s="1" t="s">
        <v>23</v>
      </c>
      <c r="F84" s="1">
        <v>226.0</v>
      </c>
      <c r="G84" s="1" t="s">
        <v>18</v>
      </c>
    </row>
    <row r="85">
      <c r="A85" s="1" t="s">
        <v>208</v>
      </c>
      <c r="B85" s="2">
        <v>46303.0</v>
      </c>
      <c r="C85" s="1" t="s">
        <v>209</v>
      </c>
      <c r="D85" s="1" t="s">
        <v>30</v>
      </c>
      <c r="E85" s="1" t="s">
        <v>27</v>
      </c>
      <c r="F85" s="1">
        <v>322.0</v>
      </c>
      <c r="G85" s="1" t="s">
        <v>18</v>
      </c>
    </row>
    <row r="86">
      <c r="A86" s="1" t="s">
        <v>95</v>
      </c>
      <c r="B86" s="2">
        <v>46261.0</v>
      </c>
      <c r="C86" s="1" t="s">
        <v>96</v>
      </c>
      <c r="D86" s="1" t="s">
        <v>30</v>
      </c>
      <c r="E86" s="1" t="s">
        <v>19</v>
      </c>
      <c r="F86" s="1">
        <v>352.0</v>
      </c>
      <c r="G86" s="1" t="s">
        <v>18</v>
      </c>
    </row>
    <row r="87">
      <c r="A87" s="1" t="s">
        <v>211</v>
      </c>
      <c r="B87" s="2">
        <v>46250.0</v>
      </c>
      <c r="C87" s="1" t="s">
        <v>212</v>
      </c>
      <c r="D87" s="1" t="s">
        <v>33</v>
      </c>
      <c r="F87" s="1">
        <v>228.0</v>
      </c>
      <c r="G87" s="1" t="s">
        <v>18</v>
      </c>
    </row>
    <row r="88">
      <c r="A88" s="1" t="s">
        <v>13</v>
      </c>
      <c r="B88" s="2">
        <v>46089.0</v>
      </c>
      <c r="C88" s="1" t="s">
        <v>16</v>
      </c>
      <c r="D88" s="1" t="s">
        <v>17</v>
      </c>
      <c r="E88" s="1" t="s">
        <v>19</v>
      </c>
      <c r="F88" s="1">
        <v>5000.0</v>
      </c>
      <c r="G88" s="1" t="s">
        <v>18</v>
      </c>
    </row>
    <row r="89">
      <c r="A89" s="1" t="s">
        <v>213</v>
      </c>
      <c r="B89" s="2">
        <v>46264.0</v>
      </c>
      <c r="C89" s="1" t="s">
        <v>214</v>
      </c>
      <c r="D89" s="1" t="s">
        <v>17</v>
      </c>
      <c r="E89" s="1" t="s">
        <v>27</v>
      </c>
      <c r="F89" s="1">
        <v>270.0</v>
      </c>
      <c r="G89" s="1" t="s">
        <v>46</v>
      </c>
    </row>
    <row r="90">
      <c r="A90" s="1" t="s">
        <v>215</v>
      </c>
      <c r="B90" s="2">
        <v>46273.0</v>
      </c>
      <c r="C90" s="1" t="s">
        <v>169</v>
      </c>
      <c r="D90" s="1" t="s">
        <v>33</v>
      </c>
      <c r="E90" s="1" t="s">
        <v>23</v>
      </c>
      <c r="F90" s="1">
        <v>323.0</v>
      </c>
      <c r="G90" s="1" t="s">
        <v>46</v>
      </c>
    </row>
    <row r="91">
      <c r="A91" s="1" t="s">
        <v>108</v>
      </c>
      <c r="B91" s="2">
        <v>46248.0</v>
      </c>
      <c r="C91" s="1" t="s">
        <v>110</v>
      </c>
      <c r="D91" s="1" t="s">
        <v>51</v>
      </c>
      <c r="E91" s="1" t="s">
        <v>31</v>
      </c>
      <c r="F91" s="1">
        <v>345.0</v>
      </c>
      <c r="G91" s="1" t="s">
        <v>18</v>
      </c>
    </row>
    <row r="92">
      <c r="A92" s="1" t="s">
        <v>218</v>
      </c>
      <c r="B92" s="2">
        <v>46242.0</v>
      </c>
      <c r="C92" s="1" t="s">
        <v>181</v>
      </c>
      <c r="D92" s="1" t="s">
        <v>17</v>
      </c>
      <c r="E92" s="1" t="s">
        <v>77</v>
      </c>
      <c r="F92" s="1">
        <v>163.0</v>
      </c>
      <c r="G92" s="1" t="s">
        <v>18</v>
      </c>
    </row>
    <row r="93">
      <c r="A93" s="1" t="s">
        <v>219</v>
      </c>
      <c r="B93" s="2">
        <v>46150.0</v>
      </c>
      <c r="C93" s="1" t="s">
        <v>220</v>
      </c>
      <c r="D93" s="1" t="s">
        <v>33</v>
      </c>
      <c r="E93" s="1" t="s">
        <v>19</v>
      </c>
      <c r="F93" s="1">
        <v>228.0</v>
      </c>
      <c r="G93" s="1" t="s">
        <v>18</v>
      </c>
    </row>
    <row r="94">
      <c r="A94" s="1" t="s">
        <v>223</v>
      </c>
      <c r="B94" s="2">
        <v>46089.0</v>
      </c>
      <c r="C94" s="1" t="s">
        <v>224</v>
      </c>
      <c r="D94" s="1" t="s">
        <v>17</v>
      </c>
      <c r="E94" s="1" t="s">
        <v>27</v>
      </c>
      <c r="F94" s="1">
        <v>236.0</v>
      </c>
      <c r="G94" s="1" t="s">
        <v>46</v>
      </c>
    </row>
    <row r="95">
      <c r="A95" s="1" t="s">
        <v>225</v>
      </c>
      <c r="B95" s="2">
        <v>46261.0</v>
      </c>
      <c r="C95" s="1" t="s">
        <v>64</v>
      </c>
      <c r="D95" s="1" t="s">
        <v>38</v>
      </c>
      <c r="E95" s="1" t="s">
        <v>55</v>
      </c>
      <c r="F95" s="1">
        <v>176.0</v>
      </c>
      <c r="G95" s="1" t="s">
        <v>46</v>
      </c>
    </row>
    <row r="96">
      <c r="A96" s="1" t="s">
        <v>48</v>
      </c>
      <c r="B96" s="2">
        <v>46061.0</v>
      </c>
      <c r="C96" s="1" t="s">
        <v>50</v>
      </c>
      <c r="D96" s="1" t="s">
        <v>51</v>
      </c>
      <c r="E96" s="1" t="s">
        <v>23</v>
      </c>
      <c r="F96" s="1">
        <v>385.0</v>
      </c>
      <c r="G96" s="1" t="s">
        <v>18</v>
      </c>
    </row>
    <row r="97">
      <c r="A97" s="1" t="s">
        <v>133</v>
      </c>
      <c r="B97" s="2">
        <v>46030.0</v>
      </c>
      <c r="C97" s="1" t="s">
        <v>135</v>
      </c>
      <c r="D97" s="1" t="s">
        <v>33</v>
      </c>
      <c r="E97" s="1" t="s">
        <v>55</v>
      </c>
      <c r="F97" s="1">
        <v>82.0</v>
      </c>
      <c r="G97" s="1" t="s">
        <v>18</v>
      </c>
    </row>
    <row r="98">
      <c r="A98" s="1" t="s">
        <v>229</v>
      </c>
      <c r="B98" s="2">
        <v>46364.0</v>
      </c>
      <c r="C98" s="1" t="s">
        <v>230</v>
      </c>
      <c r="D98" s="1" t="s">
        <v>17</v>
      </c>
      <c r="F98" s="1">
        <v>261.0</v>
      </c>
      <c r="G98" s="1" t="s">
        <v>18</v>
      </c>
    </row>
    <row r="99">
      <c r="A99" s="1" t="s">
        <v>233</v>
      </c>
      <c r="B99" s="2">
        <v>46250.0</v>
      </c>
      <c r="D99" s="1" t="s">
        <v>30</v>
      </c>
      <c r="E99" s="1" t="s">
        <v>27</v>
      </c>
      <c r="F99" s="1">
        <v>179.0</v>
      </c>
      <c r="G99" s="1" t="s">
        <v>18</v>
      </c>
    </row>
    <row r="100">
      <c r="A100" s="1" t="s">
        <v>235</v>
      </c>
      <c r="B100" s="2">
        <v>46089.0</v>
      </c>
      <c r="C100" s="1" t="s">
        <v>156</v>
      </c>
      <c r="D100" s="1" t="s">
        <v>17</v>
      </c>
      <c r="E100" s="1" t="s">
        <v>23</v>
      </c>
      <c r="F100" s="1">
        <v>220.0</v>
      </c>
      <c r="G100" s="1" t="s">
        <v>18</v>
      </c>
    </row>
    <row r="101">
      <c r="A101" s="1" t="s">
        <v>236</v>
      </c>
      <c r="B101" s="2">
        <v>46303.0</v>
      </c>
      <c r="C101" s="1" t="s">
        <v>237</v>
      </c>
      <c r="D101" s="1" t="s">
        <v>38</v>
      </c>
      <c r="E101" s="1" t="s">
        <v>19</v>
      </c>
      <c r="F101" s="1">
        <v>217.0</v>
      </c>
      <c r="G101" s="1" t="s">
        <v>46</v>
      </c>
    </row>
    <row r="102">
      <c r="A102" s="1" t="s">
        <v>238</v>
      </c>
      <c r="B102" s="2">
        <v>46242.0</v>
      </c>
      <c r="C102" s="1" t="s">
        <v>239</v>
      </c>
      <c r="D102" s="1" t="s">
        <v>33</v>
      </c>
      <c r="E102" s="1" t="s">
        <v>55</v>
      </c>
      <c r="F102" s="1">
        <v>178.0</v>
      </c>
      <c r="G102" s="1" t="s">
        <v>18</v>
      </c>
    </row>
    <row r="103">
      <c r="A103" s="1" t="s">
        <v>240</v>
      </c>
      <c r="B103" s="2">
        <v>46252.0</v>
      </c>
      <c r="C103" s="1" t="s">
        <v>241</v>
      </c>
      <c r="D103" s="1" t="s">
        <v>17</v>
      </c>
      <c r="E103" s="1" t="s">
        <v>35</v>
      </c>
      <c r="F103" s="1">
        <v>233.0</v>
      </c>
      <c r="G103" s="1" t="s">
        <v>18</v>
      </c>
    </row>
    <row r="104">
      <c r="A104" s="1" t="s">
        <v>242</v>
      </c>
      <c r="B104" s="2">
        <v>46247.0</v>
      </c>
      <c r="C104" s="1" t="s">
        <v>243</v>
      </c>
      <c r="D104" s="1" t="s">
        <v>15</v>
      </c>
      <c r="E104" s="1" t="s">
        <v>35</v>
      </c>
      <c r="F104" s="1">
        <v>163.0</v>
      </c>
      <c r="G104" s="1" t="s">
        <v>18</v>
      </c>
    </row>
    <row r="105">
      <c r="A105" s="1" t="s">
        <v>244</v>
      </c>
      <c r="B105" s="2">
        <v>46260.0</v>
      </c>
      <c r="C105" s="1" t="s">
        <v>246</v>
      </c>
      <c r="D105" s="1" t="s">
        <v>17</v>
      </c>
      <c r="E105" s="1" t="s">
        <v>35</v>
      </c>
      <c r="F105" s="1">
        <v>192.0</v>
      </c>
      <c r="G105" s="1" t="s">
        <v>18</v>
      </c>
    </row>
    <row r="106">
      <c r="A106" s="1" t="s">
        <v>248</v>
      </c>
      <c r="B106" s="2">
        <v>46273.0</v>
      </c>
      <c r="C106" s="1" t="s">
        <v>250</v>
      </c>
      <c r="D106" s="1" t="s">
        <v>38</v>
      </c>
      <c r="E106" s="1" t="s">
        <v>35</v>
      </c>
      <c r="F106" s="1">
        <v>200.0</v>
      </c>
      <c r="G106" s="1" t="s">
        <v>18</v>
      </c>
    </row>
    <row r="107">
      <c r="A107" s="1" t="s">
        <v>252</v>
      </c>
      <c r="B107" s="2">
        <v>46253.0</v>
      </c>
      <c r="C107" s="1" t="s">
        <v>253</v>
      </c>
      <c r="D107" s="1" t="s">
        <v>38</v>
      </c>
      <c r="E107" s="1" t="s">
        <v>35</v>
      </c>
      <c r="F107" s="1">
        <v>225.0</v>
      </c>
      <c r="G107" s="1" t="s">
        <v>46</v>
      </c>
    </row>
    <row r="108">
      <c r="A108" s="1" t="s">
        <v>217</v>
      </c>
      <c r="B108" s="2">
        <v>46265.0</v>
      </c>
      <c r="C108" s="1" t="s">
        <v>73</v>
      </c>
      <c r="D108" s="1" t="s">
        <v>15</v>
      </c>
      <c r="E108" s="1" t="s">
        <v>35</v>
      </c>
      <c r="F108" s="1">
        <v>325.0</v>
      </c>
      <c r="G108" s="1" t="s">
        <v>46</v>
      </c>
    </row>
    <row r="109">
      <c r="A109" s="1" t="s">
        <v>232</v>
      </c>
      <c r="B109" s="2">
        <v>46364.0</v>
      </c>
      <c r="C109" s="1" t="s">
        <v>234</v>
      </c>
      <c r="D109" s="1" t="s">
        <v>51</v>
      </c>
      <c r="E109" s="1" t="s">
        <v>55</v>
      </c>
      <c r="F109" s="1">
        <v>282.0</v>
      </c>
      <c r="G109" s="1" t="s">
        <v>18</v>
      </c>
    </row>
    <row r="110">
      <c r="A110" s="1" t="s">
        <v>254</v>
      </c>
      <c r="B110" s="2">
        <v>46258.0</v>
      </c>
      <c r="C110" s="1" t="s">
        <v>256</v>
      </c>
      <c r="D110" s="1" t="s">
        <v>30</v>
      </c>
      <c r="E110" s="1" t="s">
        <v>19</v>
      </c>
      <c r="F110" s="1">
        <v>240.0</v>
      </c>
      <c r="G110" s="1" t="s">
        <v>18</v>
      </c>
    </row>
    <row r="111">
      <c r="A111" s="1" t="s">
        <v>257</v>
      </c>
      <c r="B111" s="2">
        <v>46258.0</v>
      </c>
      <c r="C111" s="1" t="s">
        <v>258</v>
      </c>
      <c r="D111" s="1" t="s">
        <v>51</v>
      </c>
      <c r="E111" s="1" t="s">
        <v>23</v>
      </c>
      <c r="F111" s="1">
        <v>238.0</v>
      </c>
      <c r="G111" s="1" t="s">
        <v>18</v>
      </c>
    </row>
    <row r="112">
      <c r="A112" s="1" t="s">
        <v>259</v>
      </c>
      <c r="B112" s="2">
        <v>46303.0</v>
      </c>
      <c r="C112" s="1" t="s">
        <v>145</v>
      </c>
      <c r="D112" s="1" t="s">
        <v>38</v>
      </c>
      <c r="E112" s="1" t="s">
        <v>23</v>
      </c>
      <c r="F112" s="1">
        <v>251.0</v>
      </c>
      <c r="G112" s="1" t="s">
        <v>46</v>
      </c>
    </row>
    <row r="113">
      <c r="A113" s="1" t="s">
        <v>260</v>
      </c>
      <c r="B113" s="2">
        <v>46061.0</v>
      </c>
      <c r="C113" s="1" t="s">
        <v>261</v>
      </c>
      <c r="D113" s="1" t="s">
        <v>30</v>
      </c>
      <c r="E113" s="1" t="s">
        <v>23</v>
      </c>
      <c r="F113" s="1">
        <v>197.0</v>
      </c>
      <c r="G113" s="1" t="s">
        <v>18</v>
      </c>
    </row>
    <row r="114">
      <c r="A114" s="1" t="s">
        <v>262</v>
      </c>
      <c r="B114" s="2">
        <v>46030.0</v>
      </c>
      <c r="D114" s="1" t="s">
        <v>33</v>
      </c>
      <c r="E114" s="1" t="s">
        <v>27</v>
      </c>
      <c r="F114" s="1">
        <v>179.0</v>
      </c>
      <c r="G114" s="1" t="s">
        <v>18</v>
      </c>
    </row>
    <row r="115">
      <c r="A115" s="1" t="s">
        <v>255</v>
      </c>
      <c r="B115" s="2">
        <v>46265.0</v>
      </c>
      <c r="C115" s="1" t="s">
        <v>243</v>
      </c>
      <c r="D115" s="1" t="s">
        <v>38</v>
      </c>
      <c r="E115" s="1" t="s">
        <v>19</v>
      </c>
      <c r="F115" s="1">
        <v>259.0</v>
      </c>
      <c r="G115" s="1" t="s">
        <v>18</v>
      </c>
    </row>
    <row r="116">
      <c r="A116" s="1" t="s">
        <v>265</v>
      </c>
      <c r="B116" s="2">
        <v>46256.0</v>
      </c>
      <c r="C116" s="1" t="s">
        <v>214</v>
      </c>
      <c r="D116" s="1" t="s">
        <v>30</v>
      </c>
      <c r="E116" s="1" t="s">
        <v>27</v>
      </c>
      <c r="F116" s="1">
        <v>233.0</v>
      </c>
      <c r="G116" s="1" t="s">
        <v>18</v>
      </c>
    </row>
    <row r="117">
      <c r="A117" s="1" t="s">
        <v>263</v>
      </c>
      <c r="B117" s="2">
        <v>46242.0</v>
      </c>
      <c r="C117" s="1" t="s">
        <v>264</v>
      </c>
      <c r="D117" s="1" t="s">
        <v>38</v>
      </c>
      <c r="F117" s="1">
        <v>245.0</v>
      </c>
      <c r="G117" s="1" t="s">
        <v>46</v>
      </c>
    </row>
    <row r="118">
      <c r="A118" s="1" t="s">
        <v>228</v>
      </c>
      <c r="B118" s="2">
        <v>46265.0</v>
      </c>
      <c r="C118" s="1" t="s">
        <v>78</v>
      </c>
      <c r="D118" s="1" t="s">
        <v>38</v>
      </c>
      <c r="E118" s="1" t="s">
        <v>23</v>
      </c>
      <c r="F118" s="1">
        <v>313.0</v>
      </c>
      <c r="G118" s="1" t="s">
        <v>18</v>
      </c>
    </row>
    <row r="119">
      <c r="A119" s="1" t="s">
        <v>245</v>
      </c>
      <c r="B119" s="2">
        <v>46259.0</v>
      </c>
      <c r="C119" s="1" t="s">
        <v>247</v>
      </c>
      <c r="D119" s="1" t="s">
        <v>17</v>
      </c>
      <c r="E119" s="1" t="s">
        <v>27</v>
      </c>
      <c r="F119" s="1">
        <v>270.0</v>
      </c>
      <c r="G119" s="1" t="s">
        <v>18</v>
      </c>
    </row>
    <row r="120">
      <c r="A120" s="1" t="s">
        <v>221</v>
      </c>
      <c r="B120" s="2">
        <v>46250.0</v>
      </c>
      <c r="C120" s="1" t="s">
        <v>222</v>
      </c>
      <c r="D120" s="1" t="s">
        <v>51</v>
      </c>
      <c r="E120" s="1" t="s">
        <v>55</v>
      </c>
      <c r="F120" s="1">
        <v>119.0</v>
      </c>
      <c r="G120" s="1" t="s">
        <v>18</v>
      </c>
    </row>
    <row r="121">
      <c r="A121" s="1" t="s">
        <v>249</v>
      </c>
      <c r="B121" s="2">
        <v>46263.0</v>
      </c>
      <c r="C121" s="1" t="s">
        <v>251</v>
      </c>
      <c r="D121" s="1" t="s">
        <v>51</v>
      </c>
      <c r="E121" s="1" t="s">
        <v>82</v>
      </c>
      <c r="F121" s="1">
        <v>270.0</v>
      </c>
      <c r="G121" s="1" t="s">
        <v>46</v>
      </c>
    </row>
    <row r="122">
      <c r="A122" s="1" t="s">
        <v>245</v>
      </c>
      <c r="B122" s="2">
        <v>46259.0</v>
      </c>
      <c r="C122" s="1" t="s">
        <v>247</v>
      </c>
      <c r="D122" s="1" t="s">
        <v>17</v>
      </c>
      <c r="E122" s="1" t="s">
        <v>27</v>
      </c>
      <c r="F122" s="1">
        <v>270.0</v>
      </c>
      <c r="G122" s="1" t="s">
        <v>18</v>
      </c>
    </row>
    <row r="123">
      <c r="A123" s="1" t="s">
        <v>59</v>
      </c>
      <c r="B123" s="2">
        <v>46256.0</v>
      </c>
      <c r="C123" s="1" t="s">
        <v>60</v>
      </c>
      <c r="D123" s="1" t="s">
        <v>33</v>
      </c>
      <c r="E123" s="1" t="s">
        <v>27</v>
      </c>
      <c r="F123" s="1">
        <v>61.0</v>
      </c>
      <c r="G123" s="1" t="s">
        <v>18</v>
      </c>
    </row>
    <row r="124">
      <c r="A124" s="1" t="s">
        <v>44</v>
      </c>
      <c r="B124" s="2">
        <v>46257.0</v>
      </c>
      <c r="C124" s="1" t="s">
        <v>45</v>
      </c>
      <c r="D124" s="1" t="s">
        <v>33</v>
      </c>
      <c r="E124" s="1" t="s">
        <v>27</v>
      </c>
      <c r="F124" s="1">
        <v>243.0</v>
      </c>
      <c r="G124" s="1" t="s">
        <v>46</v>
      </c>
    </row>
    <row r="125">
      <c r="A125" s="1" t="s">
        <v>83</v>
      </c>
      <c r="B125" s="2">
        <v>46211.0</v>
      </c>
      <c r="C125" s="1" t="s">
        <v>84</v>
      </c>
      <c r="D125" s="1" t="s">
        <v>30</v>
      </c>
      <c r="E125" s="1" t="s">
        <v>55</v>
      </c>
      <c r="F125" s="1">
        <v>205.0</v>
      </c>
      <c r="G125" s="1" t="s">
        <v>18</v>
      </c>
    </row>
    <row r="126">
      <c r="A126" s="1" t="s">
        <v>47</v>
      </c>
      <c r="B126" s="2">
        <v>46089.0</v>
      </c>
      <c r="C126" s="1" t="s">
        <v>49</v>
      </c>
      <c r="D126" s="1" t="s">
        <v>15</v>
      </c>
      <c r="E126" s="1" t="s">
        <v>19</v>
      </c>
      <c r="F126" s="1">
        <v>162.0</v>
      </c>
      <c r="G126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9</v>
      </c>
      <c r="G1" s="1" t="s">
        <v>10</v>
      </c>
    </row>
    <row r="2">
      <c r="A2" s="1" t="s">
        <v>13</v>
      </c>
      <c r="B2" s="2">
        <v>46089.0</v>
      </c>
      <c r="C2" s="1" t="s">
        <v>16</v>
      </c>
      <c r="D2" s="1" t="s">
        <v>17</v>
      </c>
      <c r="E2" s="1" t="s">
        <v>19</v>
      </c>
      <c r="F2" s="3">
        <v>5000.0</v>
      </c>
      <c r="G2" s="1" t="s">
        <v>18</v>
      </c>
      <c r="I2" s="1" t="s">
        <v>25</v>
      </c>
      <c r="J2" s="4">
        <f>AVERAGE(F2:F126)</f>
        <v>248.52</v>
      </c>
    </row>
    <row r="3">
      <c r="A3" s="1" t="s">
        <v>48</v>
      </c>
      <c r="B3" s="2">
        <v>46061.0</v>
      </c>
      <c r="C3" s="1" t="s">
        <v>50</v>
      </c>
      <c r="D3" s="1" t="s">
        <v>51</v>
      </c>
      <c r="E3" s="1" t="s">
        <v>23</v>
      </c>
      <c r="F3" s="1">
        <v>385.0</v>
      </c>
      <c r="G3" s="1" t="s">
        <v>18</v>
      </c>
      <c r="I3" s="1" t="s">
        <v>53</v>
      </c>
      <c r="J3" s="4">
        <f>MIN(F2:F126)</f>
        <v>-50</v>
      </c>
    </row>
    <row r="4">
      <c r="A4" s="1" t="s">
        <v>65</v>
      </c>
      <c r="B4" s="2">
        <v>46253.0</v>
      </c>
      <c r="C4" s="1" t="s">
        <v>66</v>
      </c>
      <c r="D4" s="1" t="s">
        <v>17</v>
      </c>
      <c r="E4" s="1" t="s">
        <v>19</v>
      </c>
      <c r="F4" s="1">
        <v>356.0</v>
      </c>
      <c r="G4" s="1" t="s">
        <v>18</v>
      </c>
      <c r="I4" s="1" t="s">
        <v>68</v>
      </c>
      <c r="J4" s="4">
        <f>MAX(F2:F126)</f>
        <v>5000</v>
      </c>
    </row>
    <row r="5">
      <c r="A5" s="1" t="s">
        <v>74</v>
      </c>
      <c r="B5" s="2">
        <v>46262.0</v>
      </c>
      <c r="C5" s="1" t="s">
        <v>75</v>
      </c>
      <c r="D5" s="1" t="s">
        <v>15</v>
      </c>
      <c r="E5" s="7" t="s">
        <v>77</v>
      </c>
      <c r="F5" s="1">
        <v>355.0</v>
      </c>
      <c r="G5" s="1" t="s">
        <v>18</v>
      </c>
      <c r="I5" s="8" t="s">
        <v>81</v>
      </c>
      <c r="J5" s="4">
        <f>COUNTBLANK(A2:G126)</f>
        <v>13</v>
      </c>
    </row>
    <row r="6">
      <c r="A6" s="1" t="s">
        <v>95</v>
      </c>
      <c r="B6" s="2">
        <v>46261.0</v>
      </c>
      <c r="C6" s="1" t="s">
        <v>96</v>
      </c>
      <c r="D6" s="1" t="s">
        <v>30</v>
      </c>
      <c r="E6" s="1" t="s">
        <v>19</v>
      </c>
      <c r="F6" s="1">
        <v>352.0</v>
      </c>
      <c r="G6" s="1" t="s">
        <v>18</v>
      </c>
      <c r="I6" s="10"/>
      <c r="J6" s="1" t="s">
        <v>101</v>
      </c>
    </row>
    <row r="7">
      <c r="A7" s="1" t="s">
        <v>103</v>
      </c>
      <c r="B7" s="2">
        <v>46257.0</v>
      </c>
      <c r="C7" s="1" t="s">
        <v>104</v>
      </c>
      <c r="D7" s="1" t="s">
        <v>51</v>
      </c>
      <c r="E7" s="7" t="s">
        <v>77</v>
      </c>
      <c r="F7" s="1">
        <v>348.0</v>
      </c>
      <c r="G7" s="1" t="s">
        <v>18</v>
      </c>
      <c r="I7" s="11"/>
      <c r="J7" s="12" t="s">
        <v>106</v>
      </c>
    </row>
    <row r="8">
      <c r="A8" s="1" t="s">
        <v>108</v>
      </c>
      <c r="B8" s="2">
        <v>46248.0</v>
      </c>
      <c r="C8" s="1" t="s">
        <v>110</v>
      </c>
      <c r="D8" s="1" t="s">
        <v>51</v>
      </c>
      <c r="E8" s="7" t="s">
        <v>31</v>
      </c>
      <c r="F8" s="1">
        <v>345.0</v>
      </c>
      <c r="G8" s="1" t="s">
        <v>18</v>
      </c>
    </row>
    <row r="9">
      <c r="A9" s="1" t="s">
        <v>39</v>
      </c>
      <c r="B9" s="2">
        <v>46242.0</v>
      </c>
      <c r="C9" s="1" t="s">
        <v>40</v>
      </c>
      <c r="D9" s="1" t="s">
        <v>15</v>
      </c>
      <c r="E9" s="1" t="s">
        <v>23</v>
      </c>
      <c r="F9" s="1">
        <v>326.0</v>
      </c>
      <c r="G9" s="1" t="s">
        <v>18</v>
      </c>
    </row>
    <row r="10">
      <c r="A10" s="1" t="s">
        <v>187</v>
      </c>
      <c r="B10" s="2">
        <v>46254.0</v>
      </c>
      <c r="C10" s="1" t="s">
        <v>188</v>
      </c>
      <c r="D10" s="1" t="s">
        <v>15</v>
      </c>
      <c r="E10" s="7" t="s">
        <v>216</v>
      </c>
      <c r="F10" s="1">
        <v>326.0</v>
      </c>
      <c r="G10" s="1" t="s">
        <v>46</v>
      </c>
    </row>
    <row r="11">
      <c r="A11" s="1" t="s">
        <v>217</v>
      </c>
      <c r="B11" s="2">
        <v>46265.0</v>
      </c>
      <c r="C11" s="1" t="s">
        <v>73</v>
      </c>
      <c r="D11" s="1" t="s">
        <v>15</v>
      </c>
      <c r="E11" s="1" t="s">
        <v>35</v>
      </c>
      <c r="F11" s="1">
        <v>325.0</v>
      </c>
      <c r="G11" s="1" t="s">
        <v>46</v>
      </c>
    </row>
    <row r="12">
      <c r="A12" s="1" t="s">
        <v>215</v>
      </c>
      <c r="B12" s="2">
        <v>46273.0</v>
      </c>
      <c r="C12" s="1" t="s">
        <v>169</v>
      </c>
      <c r="D12" s="1" t="s">
        <v>33</v>
      </c>
      <c r="E12" s="1" t="s">
        <v>23</v>
      </c>
      <c r="F12" s="1">
        <v>323.0</v>
      </c>
      <c r="G12" s="1" t="s">
        <v>46</v>
      </c>
    </row>
    <row r="13">
      <c r="A13" s="1" t="s">
        <v>208</v>
      </c>
      <c r="B13" s="2">
        <v>46303.0</v>
      </c>
      <c r="C13" s="1" t="s">
        <v>209</v>
      </c>
      <c r="D13" s="1" t="s">
        <v>30</v>
      </c>
      <c r="E13" s="1" t="s">
        <v>27</v>
      </c>
      <c r="F13" s="1">
        <v>322.0</v>
      </c>
      <c r="G13" s="1" t="s">
        <v>18</v>
      </c>
    </row>
    <row r="14">
      <c r="A14" s="1" t="s">
        <v>28</v>
      </c>
      <c r="B14" s="2">
        <v>46258.0</v>
      </c>
      <c r="C14" s="1" t="s">
        <v>29</v>
      </c>
      <c r="D14" s="1" t="s">
        <v>30</v>
      </c>
      <c r="E14" s="7" t="s">
        <v>31</v>
      </c>
      <c r="F14" s="1">
        <v>321.0</v>
      </c>
      <c r="G14" s="1" t="s">
        <v>18</v>
      </c>
    </row>
    <row r="15">
      <c r="A15" s="1" t="s">
        <v>76</v>
      </c>
      <c r="B15" s="2">
        <v>46264.0</v>
      </c>
      <c r="C15" s="1" t="s">
        <v>78</v>
      </c>
      <c r="D15" s="1" t="s">
        <v>30</v>
      </c>
      <c r="E15" s="1" t="s">
        <v>27</v>
      </c>
      <c r="F15" s="1">
        <v>317.0</v>
      </c>
      <c r="G15" s="1" t="s">
        <v>18</v>
      </c>
    </row>
    <row r="16">
      <c r="A16" s="1" t="s">
        <v>228</v>
      </c>
      <c r="B16" s="2">
        <v>46265.0</v>
      </c>
      <c r="C16" s="1" t="s">
        <v>78</v>
      </c>
      <c r="D16" s="1" t="s">
        <v>38</v>
      </c>
      <c r="E16" s="1" t="s">
        <v>23</v>
      </c>
      <c r="F16" s="1">
        <v>313.0</v>
      </c>
      <c r="G16" s="1" t="s">
        <v>18</v>
      </c>
    </row>
    <row r="17">
      <c r="A17" s="1" t="s">
        <v>140</v>
      </c>
      <c r="B17" s="2">
        <v>46030.0</v>
      </c>
      <c r="C17" s="1" t="s">
        <v>141</v>
      </c>
      <c r="D17" s="1" t="s">
        <v>38</v>
      </c>
      <c r="E17" s="1" t="s">
        <v>19</v>
      </c>
      <c r="F17" s="1">
        <v>284.0</v>
      </c>
      <c r="G17" s="1" t="s">
        <v>18</v>
      </c>
    </row>
    <row r="18">
      <c r="A18" s="1" t="s">
        <v>232</v>
      </c>
      <c r="B18" s="2">
        <v>46364.0</v>
      </c>
      <c r="C18" s="1" t="s">
        <v>234</v>
      </c>
      <c r="D18" s="1" t="s">
        <v>51</v>
      </c>
      <c r="E18" s="7" t="s">
        <v>226</v>
      </c>
      <c r="F18" s="1">
        <v>282.0</v>
      </c>
      <c r="G18" s="1" t="s">
        <v>18</v>
      </c>
    </row>
    <row r="19">
      <c r="A19" s="1" t="s">
        <v>164</v>
      </c>
      <c r="B19" s="2">
        <v>46211.0</v>
      </c>
      <c r="C19" s="1" t="s">
        <v>165</v>
      </c>
      <c r="D19" s="1" t="s">
        <v>17</v>
      </c>
      <c r="E19" s="1" t="s">
        <v>55</v>
      </c>
      <c r="F19" s="1">
        <v>278.0</v>
      </c>
      <c r="G19" s="1" t="s">
        <v>46</v>
      </c>
    </row>
    <row r="20">
      <c r="A20" s="1" t="s">
        <v>175</v>
      </c>
      <c r="B20" s="2">
        <v>46250.0</v>
      </c>
      <c r="C20" s="1" t="s">
        <v>176</v>
      </c>
      <c r="D20" s="1" t="s">
        <v>15</v>
      </c>
      <c r="E20" s="1" t="s">
        <v>23</v>
      </c>
      <c r="F20" s="1">
        <v>276.0</v>
      </c>
      <c r="G20" s="1" t="s">
        <v>18</v>
      </c>
    </row>
    <row r="21">
      <c r="A21" s="1" t="s">
        <v>166</v>
      </c>
      <c r="B21" s="2">
        <v>46120.0</v>
      </c>
      <c r="C21" s="1" t="s">
        <v>167</v>
      </c>
      <c r="D21" s="1" t="s">
        <v>15</v>
      </c>
      <c r="E21" s="16"/>
      <c r="F21" s="1">
        <v>272.0</v>
      </c>
      <c r="G21" s="1" t="s">
        <v>18</v>
      </c>
    </row>
    <row r="22">
      <c r="A22" s="1" t="s">
        <v>213</v>
      </c>
      <c r="B22" s="2">
        <v>46264.0</v>
      </c>
      <c r="C22" s="1" t="s">
        <v>214</v>
      </c>
      <c r="D22" s="1" t="s">
        <v>17</v>
      </c>
      <c r="E22" s="1" t="s">
        <v>27</v>
      </c>
      <c r="F22" s="1">
        <v>270.0</v>
      </c>
      <c r="G22" s="1" t="s">
        <v>46</v>
      </c>
    </row>
    <row r="23">
      <c r="A23" s="1" t="s">
        <v>245</v>
      </c>
      <c r="B23" s="2">
        <v>46259.0</v>
      </c>
      <c r="C23" s="1" t="s">
        <v>247</v>
      </c>
      <c r="D23" s="1" t="s">
        <v>17</v>
      </c>
      <c r="E23" s="1" t="s">
        <v>27</v>
      </c>
      <c r="F23" s="1">
        <v>270.0</v>
      </c>
      <c r="G23" s="1" t="s">
        <v>18</v>
      </c>
    </row>
    <row r="24">
      <c r="A24" s="1" t="s">
        <v>249</v>
      </c>
      <c r="B24" s="2">
        <v>46263.0</v>
      </c>
      <c r="C24" s="1" t="s">
        <v>251</v>
      </c>
      <c r="D24" s="1" t="s">
        <v>51</v>
      </c>
      <c r="E24" s="1" t="s">
        <v>82</v>
      </c>
      <c r="F24" s="1">
        <v>270.0</v>
      </c>
      <c r="G24" s="1" t="s">
        <v>46</v>
      </c>
    </row>
    <row r="25">
      <c r="A25" s="1" t="s">
        <v>245</v>
      </c>
      <c r="B25" s="2">
        <v>46259.0</v>
      </c>
      <c r="C25" s="1" t="s">
        <v>247</v>
      </c>
      <c r="D25" s="1" t="s">
        <v>17</v>
      </c>
      <c r="E25" s="1" t="s">
        <v>27</v>
      </c>
      <c r="F25" s="1">
        <v>270.0</v>
      </c>
      <c r="G25" s="1" t="s">
        <v>18</v>
      </c>
    </row>
    <row r="26">
      <c r="A26" s="1" t="s">
        <v>157</v>
      </c>
      <c r="B26" s="2">
        <v>46255.0</v>
      </c>
      <c r="C26" s="1" t="s">
        <v>158</v>
      </c>
      <c r="D26" s="1" t="s">
        <v>30</v>
      </c>
      <c r="E26" s="1" t="s">
        <v>27</v>
      </c>
      <c r="F26" s="1">
        <v>267.0</v>
      </c>
      <c r="G26" s="1" t="s">
        <v>46</v>
      </c>
    </row>
    <row r="27">
      <c r="A27" s="1" t="s">
        <v>113</v>
      </c>
      <c r="B27" s="2">
        <v>46030.0</v>
      </c>
      <c r="C27" s="1" t="s">
        <v>114</v>
      </c>
      <c r="D27" s="1" t="s">
        <v>17</v>
      </c>
      <c r="E27" s="1" t="s">
        <v>23</v>
      </c>
      <c r="F27" s="1">
        <v>265.0</v>
      </c>
      <c r="G27" s="1" t="s">
        <v>46</v>
      </c>
    </row>
    <row r="28">
      <c r="A28" s="1" t="s">
        <v>41</v>
      </c>
      <c r="B28" s="2">
        <v>46150.0</v>
      </c>
      <c r="C28" s="1" t="s">
        <v>42</v>
      </c>
      <c r="D28" s="1" t="s">
        <v>33</v>
      </c>
      <c r="E28" s="1" t="s">
        <v>35</v>
      </c>
      <c r="F28" s="1">
        <v>261.0</v>
      </c>
      <c r="G28" s="1" t="s">
        <v>18</v>
      </c>
    </row>
    <row r="29">
      <c r="A29" s="1" t="s">
        <v>229</v>
      </c>
      <c r="B29" s="2">
        <v>46364.0</v>
      </c>
      <c r="C29" s="1" t="s">
        <v>230</v>
      </c>
      <c r="D29" s="1" t="s">
        <v>17</v>
      </c>
      <c r="E29" s="16"/>
      <c r="F29" s="1">
        <v>261.0</v>
      </c>
      <c r="G29" s="1" t="s">
        <v>18</v>
      </c>
    </row>
    <row r="30">
      <c r="A30" s="1" t="s">
        <v>255</v>
      </c>
      <c r="B30" s="2">
        <v>46265.0</v>
      </c>
      <c r="C30" s="1" t="s">
        <v>243</v>
      </c>
      <c r="D30" s="1" t="s">
        <v>38</v>
      </c>
      <c r="E30" s="1" t="s">
        <v>19</v>
      </c>
      <c r="F30" s="1">
        <v>259.0</v>
      </c>
      <c r="G30" s="1" t="s">
        <v>18</v>
      </c>
    </row>
    <row r="31">
      <c r="A31" s="1" t="s">
        <v>123</v>
      </c>
      <c r="B31" s="2">
        <v>46254.0</v>
      </c>
      <c r="C31" s="1" t="s">
        <v>124</v>
      </c>
      <c r="D31" s="1" t="s">
        <v>38</v>
      </c>
      <c r="E31" s="1" t="s">
        <v>27</v>
      </c>
      <c r="F31" s="1">
        <v>258.0</v>
      </c>
      <c r="G31" s="1" t="s">
        <v>18</v>
      </c>
    </row>
    <row r="32">
      <c r="A32" s="1" t="s">
        <v>24</v>
      </c>
      <c r="B32" s="2">
        <v>46030.0</v>
      </c>
      <c r="C32" s="1" t="s">
        <v>26</v>
      </c>
      <c r="D32" s="1" t="s">
        <v>17</v>
      </c>
      <c r="E32" s="1" t="s">
        <v>27</v>
      </c>
      <c r="F32" s="1">
        <v>251.0</v>
      </c>
      <c r="G32" s="1" t="s">
        <v>18</v>
      </c>
    </row>
    <row r="33">
      <c r="A33" s="1" t="s">
        <v>259</v>
      </c>
      <c r="B33" s="2">
        <v>46303.0</v>
      </c>
      <c r="C33" s="1" t="s">
        <v>145</v>
      </c>
      <c r="D33" s="1" t="s">
        <v>38</v>
      </c>
      <c r="E33" s="1" t="s">
        <v>23</v>
      </c>
      <c r="F33" s="1">
        <v>251.0</v>
      </c>
      <c r="G33" s="1" t="s">
        <v>46</v>
      </c>
    </row>
    <row r="34">
      <c r="A34" s="1" t="s">
        <v>189</v>
      </c>
      <c r="B34" s="2">
        <v>46364.0</v>
      </c>
      <c r="C34" s="1" t="s">
        <v>190</v>
      </c>
      <c r="D34" s="1" t="s">
        <v>33</v>
      </c>
      <c r="E34" s="1" t="s">
        <v>27</v>
      </c>
      <c r="F34" s="1">
        <v>246.0</v>
      </c>
      <c r="G34" s="1" t="s">
        <v>18</v>
      </c>
    </row>
    <row r="35">
      <c r="A35" s="1" t="s">
        <v>263</v>
      </c>
      <c r="B35" s="2">
        <v>46242.0</v>
      </c>
      <c r="C35" s="1" t="s">
        <v>264</v>
      </c>
      <c r="D35" s="1" t="s">
        <v>38</v>
      </c>
      <c r="E35" s="16"/>
      <c r="F35" s="1">
        <v>245.0</v>
      </c>
      <c r="G35" s="1" t="s">
        <v>46</v>
      </c>
    </row>
    <row r="36">
      <c r="A36" s="1" t="s">
        <v>44</v>
      </c>
      <c r="B36" s="2">
        <v>46257.0</v>
      </c>
      <c r="C36" s="1" t="s">
        <v>45</v>
      </c>
      <c r="D36" s="1" t="s">
        <v>33</v>
      </c>
      <c r="E36" s="1" t="s">
        <v>27</v>
      </c>
      <c r="F36" s="1">
        <v>243.0</v>
      </c>
      <c r="G36" s="1" t="s">
        <v>46</v>
      </c>
    </row>
    <row r="37">
      <c r="A37" s="1" t="s">
        <v>44</v>
      </c>
      <c r="B37" s="2">
        <v>46257.0</v>
      </c>
      <c r="C37" s="1" t="s">
        <v>45</v>
      </c>
      <c r="D37" s="1" t="s">
        <v>33</v>
      </c>
      <c r="E37" s="1" t="s">
        <v>27</v>
      </c>
      <c r="F37" s="1">
        <v>243.0</v>
      </c>
      <c r="G37" s="1" t="s">
        <v>46</v>
      </c>
    </row>
    <row r="38">
      <c r="A38" s="1" t="s">
        <v>254</v>
      </c>
      <c r="B38" s="2">
        <v>46258.0</v>
      </c>
      <c r="C38" s="1" t="s">
        <v>256</v>
      </c>
      <c r="D38" s="1" t="s">
        <v>30</v>
      </c>
      <c r="E38" s="1" t="s">
        <v>19</v>
      </c>
      <c r="F38" s="1">
        <v>240.0</v>
      </c>
      <c r="G38" s="1" t="s">
        <v>18</v>
      </c>
    </row>
    <row r="39">
      <c r="A39" s="1" t="s">
        <v>11</v>
      </c>
      <c r="B39" s="2">
        <v>46255.0</v>
      </c>
      <c r="C39" s="1" t="s">
        <v>14</v>
      </c>
      <c r="D39" s="1" t="s">
        <v>15</v>
      </c>
      <c r="E39" s="16"/>
      <c r="F39" s="1">
        <v>239.0</v>
      </c>
      <c r="G39" s="1" t="s">
        <v>18</v>
      </c>
    </row>
    <row r="40">
      <c r="A40" s="1" t="s">
        <v>257</v>
      </c>
      <c r="B40" s="2">
        <v>46258.0</v>
      </c>
      <c r="C40" s="1" t="s">
        <v>258</v>
      </c>
      <c r="D40" s="1" t="s">
        <v>51</v>
      </c>
      <c r="E40" s="1" t="s">
        <v>23</v>
      </c>
      <c r="F40" s="1">
        <v>238.0</v>
      </c>
      <c r="G40" s="1" t="s">
        <v>18</v>
      </c>
    </row>
    <row r="41">
      <c r="A41" s="1" t="s">
        <v>136</v>
      </c>
      <c r="B41" s="2">
        <v>46249.0</v>
      </c>
      <c r="C41" s="1" t="s">
        <v>137</v>
      </c>
      <c r="D41" s="1" t="s">
        <v>51</v>
      </c>
      <c r="E41" s="1" t="s">
        <v>23</v>
      </c>
      <c r="F41" s="1">
        <v>236.0</v>
      </c>
      <c r="G41" s="1" t="s">
        <v>18</v>
      </c>
    </row>
    <row r="42">
      <c r="A42" s="1" t="s">
        <v>223</v>
      </c>
      <c r="B42" s="2">
        <v>46089.0</v>
      </c>
      <c r="C42" s="1" t="s">
        <v>224</v>
      </c>
      <c r="D42" s="1" t="s">
        <v>17</v>
      </c>
      <c r="E42" s="1" t="s">
        <v>27</v>
      </c>
      <c r="F42" s="1">
        <v>236.0</v>
      </c>
      <c r="G42" s="1" t="s">
        <v>46</v>
      </c>
    </row>
    <row r="43">
      <c r="A43" s="1" t="s">
        <v>178</v>
      </c>
      <c r="B43" s="2">
        <v>46273.0</v>
      </c>
      <c r="C43" s="1" t="s">
        <v>179</v>
      </c>
      <c r="D43" s="1" t="s">
        <v>30</v>
      </c>
      <c r="E43" s="1" t="s">
        <v>23</v>
      </c>
      <c r="F43" s="1">
        <v>233.0</v>
      </c>
      <c r="G43" s="1" t="s">
        <v>46</v>
      </c>
    </row>
    <row r="44">
      <c r="A44" s="1" t="s">
        <v>201</v>
      </c>
      <c r="B44" s="2">
        <v>46252.0</v>
      </c>
      <c r="C44" s="1" t="s">
        <v>202</v>
      </c>
      <c r="D44" s="1" t="s">
        <v>33</v>
      </c>
      <c r="E44" s="1" t="s">
        <v>35</v>
      </c>
      <c r="F44" s="1">
        <v>233.0</v>
      </c>
      <c r="G44" s="1" t="s">
        <v>18</v>
      </c>
    </row>
    <row r="45">
      <c r="A45" s="1" t="s">
        <v>240</v>
      </c>
      <c r="B45" s="2">
        <v>46252.0</v>
      </c>
      <c r="C45" s="1" t="s">
        <v>241</v>
      </c>
      <c r="D45" s="1" t="s">
        <v>17</v>
      </c>
      <c r="E45" s="1" t="s">
        <v>35</v>
      </c>
      <c r="F45" s="1">
        <v>233.0</v>
      </c>
      <c r="G45" s="1" t="s">
        <v>18</v>
      </c>
    </row>
    <row r="46">
      <c r="A46" s="1" t="s">
        <v>265</v>
      </c>
      <c r="B46" s="2">
        <v>46256.0</v>
      </c>
      <c r="C46" s="1" t="s">
        <v>214</v>
      </c>
      <c r="D46" s="1" t="s">
        <v>30</v>
      </c>
      <c r="E46" s="1" t="s">
        <v>27</v>
      </c>
      <c r="F46" s="1">
        <v>233.0</v>
      </c>
      <c r="G46" s="1" t="s">
        <v>18</v>
      </c>
    </row>
    <row r="47">
      <c r="A47" s="1" t="s">
        <v>153</v>
      </c>
      <c r="B47" s="2">
        <v>46273.0</v>
      </c>
      <c r="C47" s="1" t="s">
        <v>154</v>
      </c>
      <c r="D47" s="1" t="s">
        <v>51</v>
      </c>
      <c r="E47" s="1" t="s">
        <v>23</v>
      </c>
      <c r="F47" s="1">
        <v>232.0</v>
      </c>
      <c r="G47" s="1" t="s">
        <v>18</v>
      </c>
    </row>
    <row r="48">
      <c r="A48" s="1" t="s">
        <v>93</v>
      </c>
      <c r="B48" s="2">
        <v>46263.0</v>
      </c>
      <c r="C48" s="1" t="s">
        <v>94</v>
      </c>
      <c r="D48" s="1" t="s">
        <v>17</v>
      </c>
      <c r="E48" s="1" t="s">
        <v>55</v>
      </c>
      <c r="F48" s="1">
        <v>230.0</v>
      </c>
      <c r="G48" s="1" t="s">
        <v>18</v>
      </c>
    </row>
    <row r="49">
      <c r="A49" s="1" t="s">
        <v>151</v>
      </c>
      <c r="B49" s="2">
        <v>46250.0</v>
      </c>
      <c r="C49" s="1" t="s">
        <v>152</v>
      </c>
      <c r="D49" s="1" t="s">
        <v>38</v>
      </c>
      <c r="E49" s="1" t="s">
        <v>55</v>
      </c>
      <c r="F49" s="1">
        <v>230.0</v>
      </c>
      <c r="G49" s="1" t="s">
        <v>18</v>
      </c>
    </row>
    <row r="50">
      <c r="A50" s="1" t="s">
        <v>148</v>
      </c>
      <c r="B50" s="2">
        <v>46258.0</v>
      </c>
      <c r="C50" s="1" t="s">
        <v>149</v>
      </c>
      <c r="D50" s="1" t="s">
        <v>30</v>
      </c>
      <c r="E50" s="1" t="s">
        <v>23</v>
      </c>
      <c r="F50" s="1">
        <v>228.0</v>
      </c>
      <c r="G50" s="1" t="s">
        <v>18</v>
      </c>
    </row>
    <row r="51">
      <c r="A51" s="1" t="s">
        <v>211</v>
      </c>
      <c r="B51" s="2">
        <v>46250.0</v>
      </c>
      <c r="C51" s="1" t="s">
        <v>212</v>
      </c>
      <c r="D51" s="1" t="s">
        <v>33</v>
      </c>
      <c r="E51" s="16"/>
      <c r="F51" s="1">
        <v>228.0</v>
      </c>
      <c r="G51" s="1" t="s">
        <v>18</v>
      </c>
    </row>
    <row r="52">
      <c r="A52" s="1" t="s">
        <v>219</v>
      </c>
      <c r="B52" s="2">
        <v>46150.0</v>
      </c>
      <c r="C52" s="1" t="s">
        <v>220</v>
      </c>
      <c r="D52" s="1" t="s">
        <v>33</v>
      </c>
      <c r="E52" s="1" t="s">
        <v>19</v>
      </c>
      <c r="F52" s="1">
        <v>228.0</v>
      </c>
      <c r="G52" s="1" t="s">
        <v>18</v>
      </c>
    </row>
    <row r="53">
      <c r="A53" s="1" t="s">
        <v>162</v>
      </c>
      <c r="B53" s="2">
        <v>46254.0</v>
      </c>
      <c r="C53" s="1" t="s">
        <v>163</v>
      </c>
      <c r="D53" s="1" t="s">
        <v>17</v>
      </c>
      <c r="E53" s="1" t="s">
        <v>55</v>
      </c>
      <c r="F53" s="1">
        <v>226.0</v>
      </c>
      <c r="G53" s="1" t="s">
        <v>18</v>
      </c>
    </row>
    <row r="54">
      <c r="A54" s="1" t="s">
        <v>173</v>
      </c>
      <c r="B54" s="2">
        <v>46258.0</v>
      </c>
      <c r="C54" s="1" t="s">
        <v>174</v>
      </c>
      <c r="D54" s="1" t="s">
        <v>51</v>
      </c>
      <c r="E54" s="1" t="s">
        <v>19</v>
      </c>
      <c r="F54" s="1">
        <v>226.0</v>
      </c>
      <c r="G54" s="1" t="s">
        <v>18</v>
      </c>
    </row>
    <row r="55">
      <c r="A55" s="1" t="s">
        <v>206</v>
      </c>
      <c r="B55" s="2">
        <v>46255.0</v>
      </c>
      <c r="C55" s="1" t="s">
        <v>207</v>
      </c>
      <c r="D55" s="1" t="s">
        <v>33</v>
      </c>
      <c r="E55" s="1" t="s">
        <v>23</v>
      </c>
      <c r="F55" s="1">
        <v>226.0</v>
      </c>
      <c r="G55" s="1" t="s">
        <v>18</v>
      </c>
    </row>
    <row r="56">
      <c r="A56" s="1" t="s">
        <v>67</v>
      </c>
      <c r="B56" s="2">
        <v>46251.0</v>
      </c>
      <c r="C56" s="1" t="s">
        <v>69</v>
      </c>
      <c r="D56" s="1" t="s">
        <v>15</v>
      </c>
      <c r="E56" s="1" t="s">
        <v>55</v>
      </c>
      <c r="F56" s="1">
        <v>225.0</v>
      </c>
      <c r="G56" s="1" t="s">
        <v>18</v>
      </c>
    </row>
    <row r="57">
      <c r="A57" s="1" t="s">
        <v>146</v>
      </c>
      <c r="B57" s="2">
        <v>46247.0</v>
      </c>
      <c r="C57" s="1" t="s">
        <v>147</v>
      </c>
      <c r="D57" s="1" t="s">
        <v>30</v>
      </c>
      <c r="E57" s="1" t="s">
        <v>23</v>
      </c>
      <c r="F57" s="1">
        <v>225.0</v>
      </c>
      <c r="G57" s="1" t="s">
        <v>46</v>
      </c>
    </row>
    <row r="58">
      <c r="A58" s="1" t="s">
        <v>252</v>
      </c>
      <c r="B58" s="2">
        <v>46253.0</v>
      </c>
      <c r="C58" s="1" t="s">
        <v>253</v>
      </c>
      <c r="D58" s="1" t="s">
        <v>38</v>
      </c>
      <c r="E58" s="1" t="s">
        <v>35</v>
      </c>
      <c r="F58" s="1">
        <v>225.0</v>
      </c>
      <c r="G58" s="1" t="s">
        <v>46</v>
      </c>
    </row>
    <row r="59">
      <c r="A59" s="1" t="s">
        <v>155</v>
      </c>
      <c r="B59" s="2">
        <v>46255.0</v>
      </c>
      <c r="C59" s="1" t="s">
        <v>156</v>
      </c>
      <c r="D59" s="1" t="s">
        <v>33</v>
      </c>
      <c r="E59" s="1" t="s">
        <v>19</v>
      </c>
      <c r="F59" s="1">
        <v>224.0</v>
      </c>
      <c r="G59" s="1" t="s">
        <v>18</v>
      </c>
    </row>
    <row r="60">
      <c r="A60" s="1" t="s">
        <v>132</v>
      </c>
      <c r="B60" s="2">
        <v>46257.0</v>
      </c>
      <c r="C60" s="1" t="s">
        <v>134</v>
      </c>
      <c r="D60" s="1" t="s">
        <v>51</v>
      </c>
      <c r="E60" s="16"/>
      <c r="F60" s="1">
        <v>223.0</v>
      </c>
      <c r="G60" s="1" t="s">
        <v>18</v>
      </c>
    </row>
    <row r="61">
      <c r="A61" s="1" t="s">
        <v>170</v>
      </c>
      <c r="B61" s="2">
        <v>46030.0</v>
      </c>
      <c r="C61" s="16"/>
      <c r="D61" s="1" t="s">
        <v>33</v>
      </c>
      <c r="E61" s="1" t="s">
        <v>55</v>
      </c>
      <c r="F61" s="1">
        <v>223.0</v>
      </c>
      <c r="G61" s="1" t="s">
        <v>18</v>
      </c>
    </row>
    <row r="62">
      <c r="A62" s="1" t="s">
        <v>235</v>
      </c>
      <c r="B62" s="2">
        <v>46089.0</v>
      </c>
      <c r="C62" s="1" t="s">
        <v>156</v>
      </c>
      <c r="D62" s="1" t="s">
        <v>17</v>
      </c>
      <c r="E62" s="1" t="s">
        <v>23</v>
      </c>
      <c r="F62" s="1">
        <v>220.0</v>
      </c>
      <c r="G62" s="1" t="s">
        <v>18</v>
      </c>
    </row>
    <row r="63">
      <c r="A63" s="1" t="s">
        <v>56</v>
      </c>
      <c r="B63" s="2">
        <v>46334.0</v>
      </c>
      <c r="C63" s="1" t="s">
        <v>57</v>
      </c>
      <c r="D63" s="1" t="s">
        <v>30</v>
      </c>
      <c r="E63" s="1" t="s">
        <v>55</v>
      </c>
      <c r="F63" s="1">
        <v>219.0</v>
      </c>
      <c r="G63" s="1" t="s">
        <v>18</v>
      </c>
    </row>
    <row r="64">
      <c r="A64" s="1" t="s">
        <v>186</v>
      </c>
      <c r="B64" s="2">
        <v>46255.0</v>
      </c>
      <c r="C64" s="1" t="s">
        <v>124</v>
      </c>
      <c r="D64" s="1" t="s">
        <v>15</v>
      </c>
      <c r="E64" s="1" t="s">
        <v>23</v>
      </c>
      <c r="F64" s="1">
        <v>218.0</v>
      </c>
      <c r="G64" s="1" t="s">
        <v>18</v>
      </c>
    </row>
    <row r="65">
      <c r="A65" s="1" t="s">
        <v>197</v>
      </c>
      <c r="B65" s="2">
        <v>46150.0</v>
      </c>
      <c r="C65" s="1" t="s">
        <v>198</v>
      </c>
      <c r="D65" s="1" t="s">
        <v>30</v>
      </c>
      <c r="E65" s="16"/>
      <c r="F65" s="1">
        <v>218.0</v>
      </c>
      <c r="G65" s="1" t="s">
        <v>18</v>
      </c>
    </row>
    <row r="66">
      <c r="A66" s="1" t="s">
        <v>236</v>
      </c>
      <c r="B66" s="2">
        <v>46303.0</v>
      </c>
      <c r="C66" s="1" t="s">
        <v>237</v>
      </c>
      <c r="D66" s="1" t="s">
        <v>38</v>
      </c>
      <c r="E66" s="1" t="s">
        <v>19</v>
      </c>
      <c r="F66" s="1">
        <v>217.0</v>
      </c>
      <c r="G66" s="1" t="s">
        <v>46</v>
      </c>
    </row>
    <row r="67">
      <c r="A67" s="1" t="s">
        <v>117</v>
      </c>
      <c r="B67" s="2">
        <v>46263.0</v>
      </c>
      <c r="C67" s="1" t="s">
        <v>118</v>
      </c>
      <c r="D67" s="1" t="s">
        <v>33</v>
      </c>
      <c r="E67" s="1" t="s">
        <v>35</v>
      </c>
      <c r="F67" s="1">
        <v>216.0</v>
      </c>
      <c r="G67" s="1" t="s">
        <v>18</v>
      </c>
    </row>
    <row r="68">
      <c r="A68" s="1" t="s">
        <v>121</v>
      </c>
      <c r="B68" s="2">
        <v>46334.0</v>
      </c>
      <c r="C68" s="1" t="s">
        <v>122</v>
      </c>
      <c r="D68" s="1" t="s">
        <v>30</v>
      </c>
      <c r="E68" s="1" t="s">
        <v>23</v>
      </c>
      <c r="F68" s="1">
        <v>215.0</v>
      </c>
      <c r="G68" s="1" t="s">
        <v>18</v>
      </c>
    </row>
    <row r="69">
      <c r="A69" s="1" t="s">
        <v>168</v>
      </c>
      <c r="B69" s="2">
        <v>46211.0</v>
      </c>
      <c r="C69" s="1" t="s">
        <v>169</v>
      </c>
      <c r="D69" s="1" t="s">
        <v>30</v>
      </c>
      <c r="E69" s="1" t="s">
        <v>19</v>
      </c>
      <c r="F69" s="1">
        <v>214.0</v>
      </c>
      <c r="G69" s="1" t="s">
        <v>18</v>
      </c>
    </row>
    <row r="70">
      <c r="A70" s="1" t="s">
        <v>125</v>
      </c>
      <c r="B70" s="2">
        <v>46256.0</v>
      </c>
      <c r="C70" s="1" t="s">
        <v>126</v>
      </c>
      <c r="D70" s="1" t="s">
        <v>30</v>
      </c>
      <c r="E70" s="1" t="s">
        <v>27</v>
      </c>
      <c r="F70" s="1">
        <v>213.0</v>
      </c>
      <c r="G70" s="1" t="s">
        <v>18</v>
      </c>
    </row>
    <row r="71">
      <c r="A71" s="1" t="s">
        <v>203</v>
      </c>
      <c r="B71" s="2">
        <v>46260.0</v>
      </c>
      <c r="C71" s="1" t="s">
        <v>204</v>
      </c>
      <c r="D71" s="1" t="s">
        <v>15</v>
      </c>
      <c r="E71" s="1" t="s">
        <v>35</v>
      </c>
      <c r="F71" s="1">
        <v>213.0</v>
      </c>
      <c r="G71" s="1" t="s">
        <v>18</v>
      </c>
    </row>
    <row r="72">
      <c r="A72" s="1" t="s">
        <v>89</v>
      </c>
      <c r="B72" s="2">
        <v>46334.0</v>
      </c>
      <c r="C72" s="1" t="s">
        <v>90</v>
      </c>
      <c r="D72" s="1" t="s">
        <v>38</v>
      </c>
      <c r="E72" s="1" t="s">
        <v>23</v>
      </c>
      <c r="F72" s="1">
        <v>208.0</v>
      </c>
      <c r="G72" s="1" t="s">
        <v>18</v>
      </c>
    </row>
    <row r="73">
      <c r="A73" s="1" t="s">
        <v>83</v>
      </c>
      <c r="B73" s="2">
        <v>46211.0</v>
      </c>
      <c r="C73" s="1" t="s">
        <v>84</v>
      </c>
      <c r="D73" s="1" t="s">
        <v>30</v>
      </c>
      <c r="E73" s="1" t="s">
        <v>55</v>
      </c>
      <c r="F73" s="1">
        <v>205.0</v>
      </c>
      <c r="G73" s="1" t="s">
        <v>18</v>
      </c>
    </row>
    <row r="74">
      <c r="A74" s="1" t="s">
        <v>83</v>
      </c>
      <c r="B74" s="2">
        <v>46211.0</v>
      </c>
      <c r="C74" s="1" t="s">
        <v>84</v>
      </c>
      <c r="D74" s="1" t="s">
        <v>30</v>
      </c>
      <c r="E74" s="1" t="s">
        <v>55</v>
      </c>
      <c r="F74" s="1">
        <v>205.0</v>
      </c>
      <c r="G74" s="1" t="s">
        <v>18</v>
      </c>
    </row>
    <row r="75">
      <c r="A75" s="1" t="s">
        <v>248</v>
      </c>
      <c r="B75" s="2">
        <v>46273.0</v>
      </c>
      <c r="C75" s="1" t="s">
        <v>250</v>
      </c>
      <c r="D75" s="1" t="s">
        <v>38</v>
      </c>
      <c r="E75" s="1" t="s">
        <v>35</v>
      </c>
      <c r="F75" s="1">
        <v>200.0</v>
      </c>
      <c r="G75" s="1" t="s">
        <v>18</v>
      </c>
    </row>
    <row r="76">
      <c r="A76" s="1" t="s">
        <v>107</v>
      </c>
      <c r="B76" s="2">
        <v>46260.0</v>
      </c>
      <c r="C76" s="1" t="s">
        <v>109</v>
      </c>
      <c r="D76" s="1" t="s">
        <v>15</v>
      </c>
      <c r="E76" s="1" t="s">
        <v>55</v>
      </c>
      <c r="F76" s="1">
        <v>198.0</v>
      </c>
      <c r="G76" s="1" t="s">
        <v>18</v>
      </c>
    </row>
    <row r="77">
      <c r="A77" s="1" t="s">
        <v>260</v>
      </c>
      <c r="B77" s="2">
        <v>46061.0</v>
      </c>
      <c r="C77" s="1" t="s">
        <v>261</v>
      </c>
      <c r="D77" s="1" t="s">
        <v>30</v>
      </c>
      <c r="E77" s="1" t="s">
        <v>23</v>
      </c>
      <c r="F77" s="1">
        <v>197.0</v>
      </c>
      <c r="G77" s="1" t="s">
        <v>18</v>
      </c>
    </row>
    <row r="78">
      <c r="A78" s="1" t="s">
        <v>244</v>
      </c>
      <c r="B78" s="2">
        <v>46260.0</v>
      </c>
      <c r="C78" s="1" t="s">
        <v>246</v>
      </c>
      <c r="D78" s="1" t="s">
        <v>17</v>
      </c>
      <c r="E78" s="1" t="s">
        <v>35</v>
      </c>
      <c r="F78" s="1">
        <v>192.0</v>
      </c>
      <c r="G78" s="1" t="s">
        <v>18</v>
      </c>
    </row>
    <row r="79">
      <c r="A79" s="1" t="s">
        <v>127</v>
      </c>
      <c r="B79" s="2">
        <v>46248.0</v>
      </c>
      <c r="C79" s="16"/>
      <c r="D79" s="1" t="s">
        <v>17</v>
      </c>
      <c r="E79" s="1" t="s">
        <v>35</v>
      </c>
      <c r="F79" s="1">
        <v>190.0</v>
      </c>
      <c r="G79" s="1" t="s">
        <v>18</v>
      </c>
    </row>
    <row r="80">
      <c r="A80" s="1" t="s">
        <v>20</v>
      </c>
      <c r="B80" s="2">
        <v>46120.0</v>
      </c>
      <c r="C80" s="1" t="s">
        <v>22</v>
      </c>
      <c r="D80" s="1" t="s">
        <v>15</v>
      </c>
      <c r="E80" s="1" t="s">
        <v>23</v>
      </c>
      <c r="F80" s="1">
        <v>188.0</v>
      </c>
      <c r="G80" s="1" t="s">
        <v>18</v>
      </c>
    </row>
    <row r="81">
      <c r="A81" s="1" t="s">
        <v>191</v>
      </c>
      <c r="B81" s="2">
        <v>46251.0</v>
      </c>
      <c r="C81" s="1" t="s">
        <v>192</v>
      </c>
      <c r="D81" s="1" t="s">
        <v>30</v>
      </c>
      <c r="E81" s="1" t="s">
        <v>23</v>
      </c>
      <c r="F81" s="1">
        <v>187.0</v>
      </c>
      <c r="G81" s="1" t="s">
        <v>18</v>
      </c>
    </row>
    <row r="82">
      <c r="A82" s="1" t="s">
        <v>199</v>
      </c>
      <c r="B82" s="2">
        <v>46181.0</v>
      </c>
      <c r="C82" s="1" t="s">
        <v>200</v>
      </c>
      <c r="D82" s="1" t="s">
        <v>30</v>
      </c>
      <c r="E82" s="1" t="s">
        <v>23</v>
      </c>
      <c r="F82" s="1">
        <v>186.0</v>
      </c>
      <c r="G82" s="1" t="s">
        <v>18</v>
      </c>
    </row>
    <row r="83">
      <c r="A83" s="1" t="s">
        <v>171</v>
      </c>
      <c r="B83" s="2">
        <v>46259.0</v>
      </c>
      <c r="C83" s="1" t="s">
        <v>172</v>
      </c>
      <c r="D83" s="1" t="s">
        <v>30</v>
      </c>
      <c r="E83" s="1" t="s">
        <v>23</v>
      </c>
      <c r="F83" s="1">
        <v>183.0</v>
      </c>
      <c r="G83" s="1" t="s">
        <v>18</v>
      </c>
    </row>
    <row r="84">
      <c r="A84" s="1" t="s">
        <v>32</v>
      </c>
      <c r="B84" s="2">
        <v>46273.0</v>
      </c>
      <c r="C84" s="1" t="s">
        <v>34</v>
      </c>
      <c r="D84" s="1" t="s">
        <v>30</v>
      </c>
      <c r="E84" s="1" t="s">
        <v>35</v>
      </c>
      <c r="F84" s="1">
        <v>181.0</v>
      </c>
      <c r="G84" s="1" t="s">
        <v>18</v>
      </c>
    </row>
    <row r="85">
      <c r="A85" s="1" t="s">
        <v>36</v>
      </c>
      <c r="B85" s="2">
        <v>46242.0</v>
      </c>
      <c r="C85" s="1" t="s">
        <v>37</v>
      </c>
      <c r="D85" s="1" t="s">
        <v>38</v>
      </c>
      <c r="E85" s="1" t="s">
        <v>23</v>
      </c>
      <c r="F85" s="1">
        <v>181.0</v>
      </c>
      <c r="G85" s="1" t="s">
        <v>18</v>
      </c>
    </row>
    <row r="86">
      <c r="A86" s="1" t="s">
        <v>79</v>
      </c>
      <c r="B86" s="2">
        <v>46248.0</v>
      </c>
      <c r="C86" s="1" t="s">
        <v>80</v>
      </c>
      <c r="D86" s="1" t="s">
        <v>17</v>
      </c>
      <c r="E86" s="1" t="s">
        <v>82</v>
      </c>
      <c r="F86" s="1">
        <v>181.0</v>
      </c>
      <c r="G86" s="1" t="s">
        <v>18</v>
      </c>
    </row>
    <row r="87">
      <c r="A87" s="1" t="s">
        <v>233</v>
      </c>
      <c r="B87" s="2">
        <v>46250.0</v>
      </c>
      <c r="C87" s="16"/>
      <c r="D87" s="1" t="s">
        <v>30</v>
      </c>
      <c r="E87" s="1" t="s">
        <v>27</v>
      </c>
      <c r="F87" s="1">
        <v>179.0</v>
      </c>
      <c r="G87" s="1" t="s">
        <v>18</v>
      </c>
    </row>
    <row r="88">
      <c r="A88" s="1" t="s">
        <v>262</v>
      </c>
      <c r="B88" s="2">
        <v>46030.0</v>
      </c>
      <c r="C88" s="16"/>
      <c r="D88" s="1" t="s">
        <v>33</v>
      </c>
      <c r="E88" s="1" t="s">
        <v>27</v>
      </c>
      <c r="F88" s="1">
        <v>179.0</v>
      </c>
      <c r="G88" s="1" t="s">
        <v>18</v>
      </c>
    </row>
    <row r="89">
      <c r="A89" s="1" t="s">
        <v>238</v>
      </c>
      <c r="B89" s="2">
        <v>46242.0</v>
      </c>
      <c r="C89" s="1" t="s">
        <v>239</v>
      </c>
      <c r="D89" s="1" t="s">
        <v>33</v>
      </c>
      <c r="E89" s="1" t="s">
        <v>55</v>
      </c>
      <c r="F89" s="1">
        <v>178.0</v>
      </c>
      <c r="G89" s="1" t="s">
        <v>18</v>
      </c>
    </row>
    <row r="90">
      <c r="A90" s="1" t="s">
        <v>99</v>
      </c>
      <c r="B90" s="2">
        <v>46262.0</v>
      </c>
      <c r="C90" s="1" t="s">
        <v>100</v>
      </c>
      <c r="D90" s="1" t="s">
        <v>38</v>
      </c>
      <c r="E90" s="1" t="s">
        <v>55</v>
      </c>
      <c r="F90" s="1">
        <v>176.0</v>
      </c>
      <c r="G90" s="1" t="s">
        <v>46</v>
      </c>
    </row>
    <row r="91">
      <c r="A91" s="1" t="s">
        <v>225</v>
      </c>
      <c r="B91" s="2">
        <v>46261.0</v>
      </c>
      <c r="C91" s="1" t="s">
        <v>64</v>
      </c>
      <c r="D91" s="1" t="s">
        <v>38</v>
      </c>
      <c r="E91" s="1" t="s">
        <v>55</v>
      </c>
      <c r="F91" s="1">
        <v>176.0</v>
      </c>
      <c r="G91" s="1" t="s">
        <v>46</v>
      </c>
    </row>
    <row r="92">
      <c r="A92" s="1" t="s">
        <v>128</v>
      </c>
      <c r="B92" s="2">
        <v>46256.0</v>
      </c>
      <c r="C92" s="1" t="s">
        <v>129</v>
      </c>
      <c r="D92" s="1" t="s">
        <v>15</v>
      </c>
      <c r="E92" s="1" t="s">
        <v>55</v>
      </c>
      <c r="F92" s="1">
        <v>175.0</v>
      </c>
      <c r="G92" s="1" t="s">
        <v>18</v>
      </c>
    </row>
    <row r="93">
      <c r="A93" s="1" t="s">
        <v>142</v>
      </c>
      <c r="B93" s="2">
        <v>46249.0</v>
      </c>
      <c r="C93" s="1" t="s">
        <v>143</v>
      </c>
      <c r="D93" s="1" t="s">
        <v>33</v>
      </c>
      <c r="E93" s="1" t="s">
        <v>55</v>
      </c>
      <c r="F93" s="1">
        <v>173.0</v>
      </c>
      <c r="G93" s="1" t="s">
        <v>18</v>
      </c>
    </row>
    <row r="94">
      <c r="A94" s="1" t="s">
        <v>144</v>
      </c>
      <c r="B94" s="2">
        <v>46211.0</v>
      </c>
      <c r="C94" s="1" t="s">
        <v>145</v>
      </c>
      <c r="D94" s="1" t="s">
        <v>38</v>
      </c>
      <c r="E94" s="1" t="s">
        <v>55</v>
      </c>
      <c r="F94" s="1">
        <v>170.0</v>
      </c>
      <c r="G94" s="1" t="s">
        <v>18</v>
      </c>
    </row>
    <row r="95">
      <c r="A95" s="1" t="s">
        <v>193</v>
      </c>
      <c r="B95" s="2">
        <v>46030.0</v>
      </c>
      <c r="C95" s="1" t="s">
        <v>195</v>
      </c>
      <c r="D95" s="1" t="s">
        <v>38</v>
      </c>
      <c r="E95" s="1" t="s">
        <v>35</v>
      </c>
      <c r="F95" s="1">
        <v>166.0</v>
      </c>
      <c r="G95" s="1" t="s">
        <v>18</v>
      </c>
    </row>
    <row r="96">
      <c r="A96" s="1" t="s">
        <v>130</v>
      </c>
      <c r="B96" s="2">
        <v>46263.0</v>
      </c>
      <c r="C96" s="1" t="s">
        <v>131</v>
      </c>
      <c r="D96" s="1" t="s">
        <v>33</v>
      </c>
      <c r="E96" s="1" t="s">
        <v>19</v>
      </c>
      <c r="F96" s="1">
        <v>163.0</v>
      </c>
      <c r="G96" s="1" t="s">
        <v>18</v>
      </c>
    </row>
    <row r="97">
      <c r="A97" s="1" t="s">
        <v>218</v>
      </c>
      <c r="B97" s="2">
        <v>46242.0</v>
      </c>
      <c r="C97" s="1" t="s">
        <v>181</v>
      </c>
      <c r="D97" s="1" t="s">
        <v>17</v>
      </c>
      <c r="E97" s="7" t="s">
        <v>77</v>
      </c>
      <c r="F97" s="1">
        <v>163.0</v>
      </c>
      <c r="G97" s="1" t="s">
        <v>18</v>
      </c>
    </row>
    <row r="98">
      <c r="A98" s="1" t="s">
        <v>242</v>
      </c>
      <c r="B98" s="2">
        <v>46247.0</v>
      </c>
      <c r="C98" s="1" t="s">
        <v>243</v>
      </c>
      <c r="D98" s="1" t="s">
        <v>15</v>
      </c>
      <c r="E98" s="1" t="s">
        <v>35</v>
      </c>
      <c r="F98" s="1">
        <v>163.0</v>
      </c>
      <c r="G98" s="1" t="s">
        <v>18</v>
      </c>
    </row>
    <row r="99">
      <c r="A99" s="1" t="s">
        <v>43</v>
      </c>
      <c r="B99" s="2">
        <v>46303.0</v>
      </c>
      <c r="C99" s="16"/>
      <c r="D99" s="1" t="s">
        <v>15</v>
      </c>
      <c r="E99" s="1" t="s">
        <v>27</v>
      </c>
      <c r="F99" s="1">
        <v>162.0</v>
      </c>
      <c r="G99" s="1" t="s">
        <v>18</v>
      </c>
    </row>
    <row r="100">
      <c r="A100" s="1" t="s">
        <v>47</v>
      </c>
      <c r="B100" s="2">
        <v>46089.0</v>
      </c>
      <c r="C100" s="1" t="s">
        <v>49</v>
      </c>
      <c r="D100" s="1" t="s">
        <v>15</v>
      </c>
      <c r="E100" s="1" t="s">
        <v>19</v>
      </c>
      <c r="F100" s="1">
        <v>162.0</v>
      </c>
      <c r="G100" s="1" t="s">
        <v>18</v>
      </c>
    </row>
    <row r="101">
      <c r="A101" s="1" t="s">
        <v>52</v>
      </c>
      <c r="B101" s="2">
        <v>46256.0</v>
      </c>
      <c r="C101" s="1" t="s">
        <v>54</v>
      </c>
      <c r="D101" s="1" t="s">
        <v>30</v>
      </c>
      <c r="E101" s="1" t="s">
        <v>55</v>
      </c>
      <c r="F101" s="1">
        <v>162.0</v>
      </c>
      <c r="G101" s="1" t="s">
        <v>18</v>
      </c>
    </row>
    <row r="102">
      <c r="A102" s="1" t="s">
        <v>47</v>
      </c>
      <c r="B102" s="2">
        <v>46089.0</v>
      </c>
      <c r="C102" s="1" t="s">
        <v>49</v>
      </c>
      <c r="D102" s="1" t="s">
        <v>15</v>
      </c>
      <c r="E102" s="1" t="s">
        <v>19</v>
      </c>
      <c r="F102" s="1">
        <v>162.0</v>
      </c>
      <c r="G102" s="1" t="s">
        <v>18</v>
      </c>
    </row>
    <row r="103">
      <c r="A103" s="1" t="s">
        <v>160</v>
      </c>
      <c r="B103" s="2">
        <v>46334.0</v>
      </c>
      <c r="C103" s="1" t="s">
        <v>161</v>
      </c>
      <c r="D103" s="1" t="s">
        <v>38</v>
      </c>
      <c r="E103" s="1" t="s">
        <v>35</v>
      </c>
      <c r="F103" s="1">
        <v>161.0</v>
      </c>
      <c r="G103" s="1" t="s">
        <v>18</v>
      </c>
    </row>
    <row r="104">
      <c r="A104" s="1" t="s">
        <v>87</v>
      </c>
      <c r="B104" s="2">
        <v>46257.0</v>
      </c>
      <c r="C104" s="1" t="s">
        <v>88</v>
      </c>
      <c r="D104" s="1" t="s">
        <v>33</v>
      </c>
      <c r="E104" s="16"/>
      <c r="F104" s="1">
        <v>156.0</v>
      </c>
      <c r="G104" s="1" t="s">
        <v>18</v>
      </c>
    </row>
    <row r="105">
      <c r="A105" s="1" t="s">
        <v>61</v>
      </c>
      <c r="B105" s="2">
        <v>46248.0</v>
      </c>
      <c r="C105" s="1" t="s">
        <v>62</v>
      </c>
      <c r="D105" s="1" t="s">
        <v>33</v>
      </c>
      <c r="E105" s="1" t="s">
        <v>23</v>
      </c>
      <c r="F105" s="1">
        <v>155.0</v>
      </c>
      <c r="G105" s="1" t="s">
        <v>46</v>
      </c>
    </row>
    <row r="106">
      <c r="A106" s="1" t="s">
        <v>97</v>
      </c>
      <c r="B106" s="2">
        <v>46254.0</v>
      </c>
      <c r="C106" s="1" t="s">
        <v>98</v>
      </c>
      <c r="D106" s="1" t="s">
        <v>30</v>
      </c>
      <c r="E106" s="1" t="s">
        <v>23</v>
      </c>
      <c r="F106" s="1">
        <v>151.0</v>
      </c>
      <c r="G106" s="1" t="s">
        <v>18</v>
      </c>
    </row>
    <row r="107">
      <c r="A107" s="1" t="s">
        <v>102</v>
      </c>
      <c r="B107" s="2">
        <v>46257.0</v>
      </c>
      <c r="C107" s="1" t="s">
        <v>105</v>
      </c>
      <c r="D107" s="1" t="s">
        <v>15</v>
      </c>
      <c r="E107" s="1" t="s">
        <v>19</v>
      </c>
      <c r="F107" s="1">
        <v>151.0</v>
      </c>
      <c r="G107" s="1" t="s">
        <v>18</v>
      </c>
    </row>
    <row r="108">
      <c r="A108" s="1" t="s">
        <v>205</v>
      </c>
      <c r="B108" s="2">
        <v>46120.0</v>
      </c>
      <c r="C108" s="1" t="s">
        <v>45</v>
      </c>
      <c r="D108" s="1" t="s">
        <v>33</v>
      </c>
      <c r="E108" s="1" t="s">
        <v>19</v>
      </c>
      <c r="F108" s="1">
        <v>133.0</v>
      </c>
      <c r="G108" s="1" t="s">
        <v>18</v>
      </c>
    </row>
    <row r="109">
      <c r="A109" s="1" t="s">
        <v>85</v>
      </c>
      <c r="B109" s="2">
        <v>46248.0</v>
      </c>
      <c r="C109" s="1" t="s">
        <v>86</v>
      </c>
      <c r="D109" s="1" t="s">
        <v>38</v>
      </c>
      <c r="E109" s="1" t="s">
        <v>27</v>
      </c>
      <c r="F109" s="1">
        <v>132.0</v>
      </c>
      <c r="G109" s="1" t="s">
        <v>46</v>
      </c>
    </row>
    <row r="110">
      <c r="A110" s="1" t="s">
        <v>70</v>
      </c>
      <c r="B110" s="2">
        <v>46259.0</v>
      </c>
      <c r="C110" s="1" t="s">
        <v>71</v>
      </c>
      <c r="D110" s="1" t="s">
        <v>17</v>
      </c>
      <c r="E110" s="1" t="s">
        <v>23</v>
      </c>
      <c r="F110" s="1">
        <v>127.0</v>
      </c>
      <c r="G110" s="1" t="s">
        <v>18</v>
      </c>
    </row>
    <row r="111">
      <c r="A111" s="1" t="s">
        <v>180</v>
      </c>
      <c r="B111" s="2">
        <v>46120.0</v>
      </c>
      <c r="C111" s="1" t="s">
        <v>181</v>
      </c>
      <c r="D111" s="1" t="s">
        <v>33</v>
      </c>
      <c r="E111" s="1" t="s">
        <v>55</v>
      </c>
      <c r="F111" s="1">
        <v>127.0</v>
      </c>
      <c r="G111" s="1" t="s">
        <v>18</v>
      </c>
    </row>
    <row r="112">
      <c r="A112" s="1" t="s">
        <v>184</v>
      </c>
      <c r="B112" s="2">
        <v>46181.0</v>
      </c>
      <c r="C112" s="1" t="s">
        <v>185</v>
      </c>
      <c r="D112" s="1" t="s">
        <v>17</v>
      </c>
      <c r="E112" s="1" t="s">
        <v>27</v>
      </c>
      <c r="F112" s="1">
        <v>126.0</v>
      </c>
      <c r="G112" s="1" t="s">
        <v>18</v>
      </c>
    </row>
    <row r="113">
      <c r="A113" s="1" t="s">
        <v>182</v>
      </c>
      <c r="B113" s="2">
        <v>46181.0</v>
      </c>
      <c r="C113" s="1" t="s">
        <v>183</v>
      </c>
      <c r="D113" s="1" t="s">
        <v>38</v>
      </c>
      <c r="E113" s="1" t="s">
        <v>19</v>
      </c>
      <c r="F113" s="1">
        <v>120.0</v>
      </c>
      <c r="G113" s="1" t="s">
        <v>46</v>
      </c>
    </row>
    <row r="114">
      <c r="A114" s="1" t="s">
        <v>221</v>
      </c>
      <c r="B114" s="2">
        <v>46250.0</v>
      </c>
      <c r="C114" s="1" t="s">
        <v>222</v>
      </c>
      <c r="D114" s="1" t="s">
        <v>51</v>
      </c>
      <c r="E114" s="1" t="s">
        <v>55</v>
      </c>
      <c r="F114" s="1">
        <v>119.0</v>
      </c>
      <c r="G114" s="1" t="s">
        <v>18</v>
      </c>
    </row>
    <row r="115">
      <c r="A115" s="1" t="s">
        <v>63</v>
      </c>
      <c r="B115" s="2">
        <v>46334.0</v>
      </c>
      <c r="C115" s="1" t="s">
        <v>64</v>
      </c>
      <c r="D115" s="1" t="s">
        <v>38</v>
      </c>
      <c r="E115" s="1" t="s">
        <v>23</v>
      </c>
      <c r="F115" s="1">
        <v>118.0</v>
      </c>
      <c r="G115" s="1" t="s">
        <v>18</v>
      </c>
    </row>
    <row r="116">
      <c r="A116" s="1" t="s">
        <v>111</v>
      </c>
      <c r="B116" s="2">
        <v>46252.0</v>
      </c>
      <c r="C116" s="1" t="s">
        <v>112</v>
      </c>
      <c r="D116" s="1" t="s">
        <v>51</v>
      </c>
      <c r="E116" s="1" t="s">
        <v>35</v>
      </c>
      <c r="F116" s="1">
        <v>115.0</v>
      </c>
      <c r="G116" s="1" t="s">
        <v>46</v>
      </c>
    </row>
    <row r="117">
      <c r="A117" s="1" t="s">
        <v>91</v>
      </c>
      <c r="B117" s="2">
        <v>46242.0</v>
      </c>
      <c r="C117" s="1" t="s">
        <v>92</v>
      </c>
      <c r="D117" s="1" t="s">
        <v>38</v>
      </c>
      <c r="E117" s="1" t="s">
        <v>19</v>
      </c>
      <c r="F117" s="1">
        <v>107.0</v>
      </c>
      <c r="G117" s="1" t="s">
        <v>18</v>
      </c>
    </row>
    <row r="118">
      <c r="A118" s="1" t="s">
        <v>194</v>
      </c>
      <c r="B118" s="2">
        <v>46263.0</v>
      </c>
      <c r="C118" s="1" t="s">
        <v>196</v>
      </c>
      <c r="D118" s="1" t="s">
        <v>51</v>
      </c>
      <c r="E118" s="1" t="s">
        <v>23</v>
      </c>
      <c r="F118" s="1">
        <v>105.0</v>
      </c>
      <c r="G118" s="1" t="s">
        <v>46</v>
      </c>
    </row>
    <row r="119">
      <c r="A119" s="1" t="s">
        <v>115</v>
      </c>
      <c r="B119" s="2">
        <v>46254.0</v>
      </c>
      <c r="C119" s="1" t="s">
        <v>116</v>
      </c>
      <c r="D119" s="1" t="s">
        <v>33</v>
      </c>
      <c r="E119" s="1" t="s">
        <v>35</v>
      </c>
      <c r="F119" s="1">
        <v>102.0</v>
      </c>
      <c r="G119" s="1" t="s">
        <v>18</v>
      </c>
    </row>
    <row r="120">
      <c r="A120" s="1" t="s">
        <v>119</v>
      </c>
      <c r="B120" s="2">
        <v>46030.0</v>
      </c>
      <c r="C120" s="1" t="s">
        <v>120</v>
      </c>
      <c r="D120" s="1" t="s">
        <v>15</v>
      </c>
      <c r="E120" s="1" t="s">
        <v>55</v>
      </c>
      <c r="F120" s="1">
        <v>93.0</v>
      </c>
      <c r="G120" s="1" t="s">
        <v>18</v>
      </c>
    </row>
    <row r="121">
      <c r="A121" s="1" t="s">
        <v>133</v>
      </c>
      <c r="B121" s="2">
        <v>46030.0</v>
      </c>
      <c r="C121" s="1" t="s">
        <v>135</v>
      </c>
      <c r="D121" s="1" t="s">
        <v>33</v>
      </c>
      <c r="E121" s="1" t="s">
        <v>55</v>
      </c>
      <c r="F121" s="1">
        <v>82.0</v>
      </c>
      <c r="G121" s="1" t="s">
        <v>18</v>
      </c>
    </row>
    <row r="122">
      <c r="A122" s="1" t="s">
        <v>72</v>
      </c>
      <c r="B122" s="2">
        <v>46030.0</v>
      </c>
      <c r="C122" s="1" t="s">
        <v>73</v>
      </c>
      <c r="D122" s="1" t="s">
        <v>17</v>
      </c>
      <c r="E122" s="1" t="s">
        <v>55</v>
      </c>
      <c r="F122" s="1">
        <v>62.0</v>
      </c>
      <c r="G122" s="1" t="s">
        <v>18</v>
      </c>
    </row>
    <row r="123">
      <c r="A123" s="1" t="s">
        <v>59</v>
      </c>
      <c r="B123" s="2">
        <v>46256.0</v>
      </c>
      <c r="C123" s="1" t="s">
        <v>60</v>
      </c>
      <c r="D123" s="1" t="s">
        <v>33</v>
      </c>
      <c r="E123" s="1" t="s">
        <v>27</v>
      </c>
      <c r="F123" s="1">
        <v>61.0</v>
      </c>
      <c r="G123" s="1" t="s">
        <v>18</v>
      </c>
    </row>
    <row r="124">
      <c r="A124" s="1" t="s">
        <v>59</v>
      </c>
      <c r="B124" s="2">
        <v>46256.0</v>
      </c>
      <c r="C124" s="1" t="s">
        <v>60</v>
      </c>
      <c r="D124" s="1" t="s">
        <v>33</v>
      </c>
      <c r="E124" s="1" t="s">
        <v>27</v>
      </c>
      <c r="F124" s="1">
        <v>61.0</v>
      </c>
      <c r="G124" s="1" t="s">
        <v>18</v>
      </c>
    </row>
    <row r="125">
      <c r="A125" s="1" t="s">
        <v>58</v>
      </c>
      <c r="B125" s="2">
        <v>46256.0</v>
      </c>
      <c r="C125" s="1" t="s">
        <v>26</v>
      </c>
      <c r="D125" s="1" t="s">
        <v>51</v>
      </c>
      <c r="E125" s="1" t="s">
        <v>23</v>
      </c>
      <c r="F125" s="1">
        <v>41.0</v>
      </c>
      <c r="G125" s="1" t="s">
        <v>18</v>
      </c>
    </row>
    <row r="126">
      <c r="A126" s="1" t="s">
        <v>12</v>
      </c>
      <c r="B126" s="2">
        <v>46120.0</v>
      </c>
      <c r="C126" s="1" t="s">
        <v>21</v>
      </c>
      <c r="D126" s="1" t="s">
        <v>33</v>
      </c>
      <c r="E126" s="1" t="s">
        <v>35</v>
      </c>
      <c r="F126" s="3">
        <v>-50.0</v>
      </c>
      <c r="G126" s="1" t="s">
        <v>18</v>
      </c>
    </row>
  </sheetData>
  <autoFilter ref="$A$1:$G$1000">
    <sortState ref="A1:G1000">
      <sortCondition descending="1" ref="F1:F1000"/>
    </sortState>
  </autoFilter>
  <conditionalFormatting sqref="A1:A126">
    <cfRule type="expression" dxfId="0" priority="1">
      <formula>COUNTIF(A2:$A1000,A2)&gt;1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9</v>
      </c>
      <c r="G1" s="1" t="s">
        <v>10</v>
      </c>
    </row>
    <row r="2">
      <c r="A2" s="1" t="s">
        <v>12</v>
      </c>
      <c r="B2" s="2">
        <v>46120.0</v>
      </c>
      <c r="C2" s="1" t="s">
        <v>21</v>
      </c>
      <c r="D2" s="1" t="s">
        <v>33</v>
      </c>
      <c r="E2" s="1" t="s">
        <v>35</v>
      </c>
      <c r="F2" s="5">
        <v>218.0</v>
      </c>
      <c r="G2" s="1" t="s">
        <v>18</v>
      </c>
      <c r="I2" s="6" t="s">
        <v>25</v>
      </c>
      <c r="J2" s="9">
        <f>AVERAGE(F2:F126)</f>
        <v>213.6666667</v>
      </c>
    </row>
    <row r="3">
      <c r="A3" s="1" t="s">
        <v>58</v>
      </c>
      <c r="B3" s="2">
        <v>46256.0</v>
      </c>
      <c r="C3" s="1" t="s">
        <v>26</v>
      </c>
      <c r="D3" s="1" t="s">
        <v>51</v>
      </c>
      <c r="E3" s="1" t="s">
        <v>23</v>
      </c>
      <c r="F3" s="1">
        <v>41.0</v>
      </c>
      <c r="G3" s="1" t="s">
        <v>18</v>
      </c>
      <c r="I3" s="6" t="s">
        <v>53</v>
      </c>
      <c r="J3" s="9">
        <f>MIN(F2:F126)</f>
        <v>41</v>
      </c>
    </row>
    <row r="4">
      <c r="A4" s="1" t="s">
        <v>59</v>
      </c>
      <c r="B4" s="2">
        <v>46256.0</v>
      </c>
      <c r="C4" s="1" t="s">
        <v>60</v>
      </c>
      <c r="D4" s="1" t="s">
        <v>33</v>
      </c>
      <c r="E4" s="1" t="s">
        <v>27</v>
      </c>
      <c r="F4" s="1">
        <v>61.0</v>
      </c>
      <c r="G4" s="1" t="s">
        <v>18</v>
      </c>
      <c r="I4" s="6" t="s">
        <v>68</v>
      </c>
      <c r="J4" s="9">
        <f>MAX(F2:F126)</f>
        <v>385</v>
      </c>
    </row>
    <row r="5">
      <c r="A5" s="1" t="s">
        <v>72</v>
      </c>
      <c r="B5" s="2">
        <v>46030.0</v>
      </c>
      <c r="C5" s="1" t="s">
        <v>73</v>
      </c>
      <c r="D5" s="1" t="s">
        <v>17</v>
      </c>
      <c r="E5" s="1" t="s">
        <v>55</v>
      </c>
      <c r="F5" s="1">
        <v>62.0</v>
      </c>
      <c r="G5" s="1" t="s">
        <v>18</v>
      </c>
      <c r="I5" s="13" t="s">
        <v>81</v>
      </c>
      <c r="J5" s="9">
        <f>COUNTBLANK(E2:E121)</f>
        <v>0</v>
      </c>
    </row>
    <row r="6">
      <c r="A6" s="1" t="s">
        <v>133</v>
      </c>
      <c r="B6" s="2">
        <v>46030.0</v>
      </c>
      <c r="C6" s="1" t="s">
        <v>135</v>
      </c>
      <c r="D6" s="1" t="s">
        <v>33</v>
      </c>
      <c r="E6" s="1" t="s">
        <v>55</v>
      </c>
      <c r="F6" s="1">
        <v>82.0</v>
      </c>
      <c r="G6" s="1" t="s">
        <v>18</v>
      </c>
      <c r="I6" s="14" t="s">
        <v>138</v>
      </c>
      <c r="J6" s="9">
        <f>MEDIAN(F2:F126)</f>
        <v>218.5</v>
      </c>
    </row>
    <row r="7">
      <c r="A7" s="1" t="s">
        <v>119</v>
      </c>
      <c r="B7" s="2">
        <v>46030.0</v>
      </c>
      <c r="C7" s="1" t="s">
        <v>120</v>
      </c>
      <c r="D7" s="1" t="s">
        <v>15</v>
      </c>
      <c r="E7" s="1" t="s">
        <v>55</v>
      </c>
      <c r="F7" s="1">
        <v>93.0</v>
      </c>
      <c r="G7" s="1" t="s">
        <v>18</v>
      </c>
      <c r="I7" s="15"/>
      <c r="J7" s="12"/>
    </row>
    <row r="8">
      <c r="A8" s="1" t="s">
        <v>115</v>
      </c>
      <c r="B8" s="2">
        <v>46254.0</v>
      </c>
      <c r="C8" s="1" t="s">
        <v>116</v>
      </c>
      <c r="D8" s="1" t="s">
        <v>33</v>
      </c>
      <c r="E8" s="1" t="s">
        <v>35</v>
      </c>
      <c r="F8" s="1">
        <v>102.0</v>
      </c>
      <c r="G8" s="1" t="s">
        <v>18</v>
      </c>
    </row>
    <row r="9">
      <c r="A9" s="1" t="s">
        <v>194</v>
      </c>
      <c r="B9" s="2">
        <v>46263.0</v>
      </c>
      <c r="C9" s="1" t="s">
        <v>196</v>
      </c>
      <c r="D9" s="1" t="s">
        <v>51</v>
      </c>
      <c r="E9" s="1" t="s">
        <v>23</v>
      </c>
      <c r="F9" s="1">
        <v>105.0</v>
      </c>
      <c r="G9" s="1" t="s">
        <v>46</v>
      </c>
    </row>
    <row r="10">
      <c r="A10" s="1" t="s">
        <v>91</v>
      </c>
      <c r="B10" s="2">
        <v>46242.0</v>
      </c>
      <c r="C10" s="1" t="s">
        <v>92</v>
      </c>
      <c r="D10" s="1" t="s">
        <v>38</v>
      </c>
      <c r="E10" s="1" t="s">
        <v>19</v>
      </c>
      <c r="F10" s="1">
        <v>107.0</v>
      </c>
      <c r="G10" s="1" t="s">
        <v>18</v>
      </c>
    </row>
    <row r="11">
      <c r="A11" s="1" t="s">
        <v>111</v>
      </c>
      <c r="B11" s="2">
        <v>46252.0</v>
      </c>
      <c r="C11" s="1" t="s">
        <v>112</v>
      </c>
      <c r="D11" s="1" t="s">
        <v>51</v>
      </c>
      <c r="E11" s="1" t="s">
        <v>35</v>
      </c>
      <c r="F11" s="1">
        <v>115.0</v>
      </c>
      <c r="G11" s="1" t="s">
        <v>46</v>
      </c>
    </row>
    <row r="12">
      <c r="A12" s="1" t="s">
        <v>63</v>
      </c>
      <c r="B12" s="2">
        <v>46334.0</v>
      </c>
      <c r="C12" s="1" t="s">
        <v>64</v>
      </c>
      <c r="D12" s="1" t="s">
        <v>38</v>
      </c>
      <c r="E12" s="1" t="s">
        <v>23</v>
      </c>
      <c r="F12" s="1">
        <v>118.0</v>
      </c>
      <c r="G12" s="1" t="s">
        <v>18</v>
      </c>
    </row>
    <row r="13">
      <c r="A13" s="1" t="s">
        <v>221</v>
      </c>
      <c r="B13" s="2">
        <v>46250.0</v>
      </c>
      <c r="C13" s="1" t="s">
        <v>222</v>
      </c>
      <c r="D13" s="1" t="s">
        <v>51</v>
      </c>
      <c r="E13" s="1" t="s">
        <v>55</v>
      </c>
      <c r="F13" s="1">
        <v>119.0</v>
      </c>
      <c r="G13" s="1" t="s">
        <v>18</v>
      </c>
    </row>
    <row r="14">
      <c r="A14" s="1" t="s">
        <v>182</v>
      </c>
      <c r="B14" s="2">
        <v>46181.0</v>
      </c>
      <c r="C14" s="1" t="s">
        <v>183</v>
      </c>
      <c r="D14" s="1" t="s">
        <v>38</v>
      </c>
      <c r="E14" s="1" t="s">
        <v>19</v>
      </c>
      <c r="F14" s="1">
        <v>120.0</v>
      </c>
      <c r="G14" s="1" t="s">
        <v>46</v>
      </c>
    </row>
    <row r="15">
      <c r="A15" s="1" t="s">
        <v>184</v>
      </c>
      <c r="B15" s="2">
        <v>46181.0</v>
      </c>
      <c r="C15" s="1" t="s">
        <v>185</v>
      </c>
      <c r="D15" s="1" t="s">
        <v>17</v>
      </c>
      <c r="E15" s="1" t="s">
        <v>27</v>
      </c>
      <c r="F15" s="1">
        <v>126.0</v>
      </c>
      <c r="G15" s="1" t="s">
        <v>18</v>
      </c>
    </row>
    <row r="16">
      <c r="A16" s="1" t="s">
        <v>70</v>
      </c>
      <c r="B16" s="2">
        <v>46259.0</v>
      </c>
      <c r="C16" s="1" t="s">
        <v>71</v>
      </c>
      <c r="D16" s="1" t="s">
        <v>17</v>
      </c>
      <c r="E16" s="1" t="s">
        <v>23</v>
      </c>
      <c r="F16" s="1">
        <v>127.0</v>
      </c>
      <c r="G16" s="1" t="s">
        <v>18</v>
      </c>
    </row>
    <row r="17">
      <c r="A17" s="1" t="s">
        <v>180</v>
      </c>
      <c r="B17" s="2">
        <v>46120.0</v>
      </c>
      <c r="C17" s="1" t="s">
        <v>181</v>
      </c>
      <c r="D17" s="1" t="s">
        <v>33</v>
      </c>
      <c r="E17" s="1" t="s">
        <v>55</v>
      </c>
      <c r="F17" s="1">
        <v>127.0</v>
      </c>
      <c r="G17" s="1" t="s">
        <v>18</v>
      </c>
    </row>
    <row r="18">
      <c r="A18" s="1" t="s">
        <v>85</v>
      </c>
      <c r="B18" s="2">
        <v>46248.0</v>
      </c>
      <c r="C18" s="1" t="s">
        <v>86</v>
      </c>
      <c r="D18" s="1" t="s">
        <v>38</v>
      </c>
      <c r="E18" s="1" t="s">
        <v>27</v>
      </c>
      <c r="F18" s="1">
        <v>132.0</v>
      </c>
      <c r="G18" s="1" t="s">
        <v>46</v>
      </c>
    </row>
    <row r="19">
      <c r="A19" s="1" t="s">
        <v>205</v>
      </c>
      <c r="B19" s="2">
        <v>46120.0</v>
      </c>
      <c r="C19" s="1" t="s">
        <v>45</v>
      </c>
      <c r="D19" s="1" t="s">
        <v>33</v>
      </c>
      <c r="E19" s="1" t="s">
        <v>19</v>
      </c>
      <c r="F19" s="1">
        <v>133.0</v>
      </c>
      <c r="G19" s="1" t="s">
        <v>18</v>
      </c>
    </row>
    <row r="20">
      <c r="A20" s="1" t="s">
        <v>97</v>
      </c>
      <c r="B20" s="2">
        <v>46254.0</v>
      </c>
      <c r="C20" s="1" t="s">
        <v>98</v>
      </c>
      <c r="D20" s="1" t="s">
        <v>30</v>
      </c>
      <c r="E20" s="1" t="s">
        <v>23</v>
      </c>
      <c r="F20" s="1">
        <v>151.0</v>
      </c>
      <c r="G20" s="1" t="s">
        <v>18</v>
      </c>
    </row>
    <row r="21">
      <c r="A21" s="1" t="s">
        <v>102</v>
      </c>
      <c r="B21" s="2">
        <v>46257.0</v>
      </c>
      <c r="C21" s="1" t="s">
        <v>105</v>
      </c>
      <c r="D21" s="1" t="s">
        <v>15</v>
      </c>
      <c r="E21" s="1" t="s">
        <v>19</v>
      </c>
      <c r="F21" s="1">
        <v>151.0</v>
      </c>
      <c r="G21" s="1" t="s">
        <v>18</v>
      </c>
    </row>
    <row r="22">
      <c r="A22" s="1" t="s">
        <v>61</v>
      </c>
      <c r="B22" s="2">
        <v>46248.0</v>
      </c>
      <c r="C22" s="1" t="s">
        <v>62</v>
      </c>
      <c r="D22" s="1" t="s">
        <v>33</v>
      </c>
      <c r="E22" s="1" t="s">
        <v>23</v>
      </c>
      <c r="F22" s="1">
        <v>155.0</v>
      </c>
      <c r="G22" s="1" t="s">
        <v>46</v>
      </c>
    </row>
    <row r="23">
      <c r="A23" s="1" t="s">
        <v>87</v>
      </c>
      <c r="B23" s="2">
        <v>46257.0</v>
      </c>
      <c r="C23" s="1" t="s">
        <v>88</v>
      </c>
      <c r="D23" s="1" t="s">
        <v>33</v>
      </c>
      <c r="E23" s="5" t="s">
        <v>227</v>
      </c>
      <c r="F23" s="1">
        <v>156.0</v>
      </c>
      <c r="G23" s="1" t="s">
        <v>18</v>
      </c>
    </row>
    <row r="24">
      <c r="A24" s="1" t="s">
        <v>160</v>
      </c>
      <c r="B24" s="2">
        <v>46334.0</v>
      </c>
      <c r="C24" s="1" t="s">
        <v>161</v>
      </c>
      <c r="D24" s="1" t="s">
        <v>38</v>
      </c>
      <c r="E24" s="1" t="s">
        <v>35</v>
      </c>
      <c r="F24" s="1">
        <v>161.0</v>
      </c>
      <c r="G24" s="1" t="s">
        <v>18</v>
      </c>
    </row>
    <row r="25">
      <c r="A25" s="1" t="s">
        <v>43</v>
      </c>
      <c r="B25" s="2">
        <v>46303.0</v>
      </c>
      <c r="C25" s="5" t="s">
        <v>227</v>
      </c>
      <c r="D25" s="1" t="s">
        <v>15</v>
      </c>
      <c r="E25" s="1" t="s">
        <v>27</v>
      </c>
      <c r="F25" s="1">
        <v>162.0</v>
      </c>
      <c r="G25" s="1" t="s">
        <v>18</v>
      </c>
    </row>
    <row r="26">
      <c r="A26" s="1" t="s">
        <v>47</v>
      </c>
      <c r="B26" s="2">
        <v>46089.0</v>
      </c>
      <c r="C26" s="1" t="s">
        <v>49</v>
      </c>
      <c r="D26" s="1" t="s">
        <v>15</v>
      </c>
      <c r="E26" s="1" t="s">
        <v>19</v>
      </c>
      <c r="F26" s="1">
        <v>162.0</v>
      </c>
      <c r="G26" s="1" t="s">
        <v>18</v>
      </c>
    </row>
    <row r="27">
      <c r="A27" s="1" t="s">
        <v>52</v>
      </c>
      <c r="B27" s="2">
        <v>46256.0</v>
      </c>
      <c r="C27" s="1" t="s">
        <v>54</v>
      </c>
      <c r="D27" s="1" t="s">
        <v>30</v>
      </c>
      <c r="E27" s="1" t="s">
        <v>55</v>
      </c>
      <c r="F27" s="1">
        <v>162.0</v>
      </c>
      <c r="G27" s="1" t="s">
        <v>18</v>
      </c>
    </row>
    <row r="28">
      <c r="A28" s="1" t="s">
        <v>130</v>
      </c>
      <c r="B28" s="2">
        <v>46263.0</v>
      </c>
      <c r="C28" s="1" t="s">
        <v>131</v>
      </c>
      <c r="D28" s="1" t="s">
        <v>33</v>
      </c>
      <c r="E28" s="1" t="s">
        <v>19</v>
      </c>
      <c r="F28" s="1">
        <v>163.0</v>
      </c>
      <c r="G28" s="1" t="s">
        <v>18</v>
      </c>
    </row>
    <row r="29">
      <c r="A29" s="1" t="s">
        <v>218</v>
      </c>
      <c r="B29" s="2">
        <v>46242.0</v>
      </c>
      <c r="C29" s="1" t="s">
        <v>181</v>
      </c>
      <c r="D29" s="1" t="s">
        <v>17</v>
      </c>
      <c r="E29" s="5" t="s">
        <v>27</v>
      </c>
      <c r="F29" s="1">
        <v>163.0</v>
      </c>
      <c r="G29" s="1" t="s">
        <v>18</v>
      </c>
    </row>
    <row r="30">
      <c r="A30" s="1" t="s">
        <v>242</v>
      </c>
      <c r="B30" s="2">
        <v>46247.0</v>
      </c>
      <c r="C30" s="1" t="s">
        <v>243</v>
      </c>
      <c r="D30" s="1" t="s">
        <v>15</v>
      </c>
      <c r="E30" s="1" t="s">
        <v>35</v>
      </c>
      <c r="F30" s="1">
        <v>163.0</v>
      </c>
      <c r="G30" s="1" t="s">
        <v>18</v>
      </c>
    </row>
    <row r="31">
      <c r="A31" s="1" t="s">
        <v>193</v>
      </c>
      <c r="B31" s="2">
        <v>46030.0</v>
      </c>
      <c r="C31" s="1" t="s">
        <v>195</v>
      </c>
      <c r="D31" s="1" t="s">
        <v>38</v>
      </c>
      <c r="E31" s="1" t="s">
        <v>35</v>
      </c>
      <c r="F31" s="1">
        <v>166.0</v>
      </c>
      <c r="G31" s="1" t="s">
        <v>18</v>
      </c>
    </row>
    <row r="32">
      <c r="A32" s="1" t="s">
        <v>144</v>
      </c>
      <c r="B32" s="2">
        <v>46211.0</v>
      </c>
      <c r="C32" s="1" t="s">
        <v>145</v>
      </c>
      <c r="D32" s="1" t="s">
        <v>38</v>
      </c>
      <c r="E32" s="1" t="s">
        <v>55</v>
      </c>
      <c r="F32" s="1">
        <v>170.0</v>
      </c>
      <c r="G32" s="1" t="s">
        <v>18</v>
      </c>
    </row>
    <row r="33">
      <c r="A33" s="1" t="s">
        <v>142</v>
      </c>
      <c r="B33" s="2">
        <v>46249.0</v>
      </c>
      <c r="C33" s="1" t="s">
        <v>143</v>
      </c>
      <c r="D33" s="1" t="s">
        <v>33</v>
      </c>
      <c r="E33" s="1" t="s">
        <v>55</v>
      </c>
      <c r="F33" s="1">
        <v>173.0</v>
      </c>
      <c r="G33" s="1" t="s">
        <v>18</v>
      </c>
    </row>
    <row r="34">
      <c r="A34" s="1" t="s">
        <v>128</v>
      </c>
      <c r="B34" s="2">
        <v>46256.0</v>
      </c>
      <c r="C34" s="1" t="s">
        <v>129</v>
      </c>
      <c r="D34" s="1" t="s">
        <v>15</v>
      </c>
      <c r="E34" s="1" t="s">
        <v>55</v>
      </c>
      <c r="F34" s="1">
        <v>175.0</v>
      </c>
      <c r="G34" s="1" t="s">
        <v>18</v>
      </c>
    </row>
    <row r="35">
      <c r="A35" s="1" t="s">
        <v>99</v>
      </c>
      <c r="B35" s="2">
        <v>46262.0</v>
      </c>
      <c r="C35" s="1" t="s">
        <v>100</v>
      </c>
      <c r="D35" s="1" t="s">
        <v>38</v>
      </c>
      <c r="E35" s="1" t="s">
        <v>55</v>
      </c>
      <c r="F35" s="1">
        <v>176.0</v>
      </c>
      <c r="G35" s="1" t="s">
        <v>46</v>
      </c>
    </row>
    <row r="36">
      <c r="A36" s="1" t="s">
        <v>225</v>
      </c>
      <c r="B36" s="2">
        <v>46261.0</v>
      </c>
      <c r="C36" s="1" t="s">
        <v>64</v>
      </c>
      <c r="D36" s="1" t="s">
        <v>38</v>
      </c>
      <c r="E36" s="1" t="s">
        <v>55</v>
      </c>
      <c r="F36" s="1">
        <v>176.0</v>
      </c>
      <c r="G36" s="1" t="s">
        <v>46</v>
      </c>
    </row>
    <row r="37">
      <c r="A37" s="1" t="s">
        <v>238</v>
      </c>
      <c r="B37" s="2">
        <v>46242.0</v>
      </c>
      <c r="C37" s="1" t="s">
        <v>239</v>
      </c>
      <c r="D37" s="1" t="s">
        <v>33</v>
      </c>
      <c r="E37" s="1" t="s">
        <v>55</v>
      </c>
      <c r="F37" s="1">
        <v>178.0</v>
      </c>
      <c r="G37" s="1" t="s">
        <v>18</v>
      </c>
    </row>
    <row r="38">
      <c r="A38" s="1" t="s">
        <v>233</v>
      </c>
      <c r="B38" s="2">
        <v>46250.0</v>
      </c>
      <c r="C38" s="5" t="s">
        <v>227</v>
      </c>
      <c r="D38" s="1" t="s">
        <v>30</v>
      </c>
      <c r="E38" s="1" t="s">
        <v>27</v>
      </c>
      <c r="F38" s="1">
        <v>179.0</v>
      </c>
      <c r="G38" s="1" t="s">
        <v>18</v>
      </c>
    </row>
    <row r="39">
      <c r="A39" s="1" t="s">
        <v>262</v>
      </c>
      <c r="B39" s="2">
        <v>46030.0</v>
      </c>
      <c r="C39" s="5" t="s">
        <v>227</v>
      </c>
      <c r="D39" s="1" t="s">
        <v>33</v>
      </c>
      <c r="E39" s="1" t="s">
        <v>27</v>
      </c>
      <c r="F39" s="1">
        <v>179.0</v>
      </c>
      <c r="G39" s="1" t="s">
        <v>18</v>
      </c>
    </row>
    <row r="40">
      <c r="A40" s="1" t="s">
        <v>32</v>
      </c>
      <c r="B40" s="2">
        <v>46273.0</v>
      </c>
      <c r="C40" s="1" t="s">
        <v>34</v>
      </c>
      <c r="D40" s="1" t="s">
        <v>30</v>
      </c>
      <c r="E40" s="1" t="s">
        <v>35</v>
      </c>
      <c r="F40" s="1">
        <v>181.0</v>
      </c>
      <c r="G40" s="1" t="s">
        <v>18</v>
      </c>
    </row>
    <row r="41">
      <c r="A41" s="1" t="s">
        <v>36</v>
      </c>
      <c r="B41" s="2">
        <v>46242.0</v>
      </c>
      <c r="C41" s="1" t="s">
        <v>37</v>
      </c>
      <c r="D41" s="1" t="s">
        <v>38</v>
      </c>
      <c r="E41" s="1" t="s">
        <v>23</v>
      </c>
      <c r="F41" s="1">
        <v>181.0</v>
      </c>
      <c r="G41" s="1" t="s">
        <v>18</v>
      </c>
    </row>
    <row r="42">
      <c r="A42" s="1" t="s">
        <v>79</v>
      </c>
      <c r="B42" s="2">
        <v>46248.0</v>
      </c>
      <c r="C42" s="1" t="s">
        <v>80</v>
      </c>
      <c r="D42" s="1" t="s">
        <v>17</v>
      </c>
      <c r="E42" s="1" t="s">
        <v>19</v>
      </c>
      <c r="F42" s="1">
        <v>181.0</v>
      </c>
      <c r="G42" s="1" t="s">
        <v>18</v>
      </c>
    </row>
    <row r="43">
      <c r="A43" s="1" t="s">
        <v>171</v>
      </c>
      <c r="B43" s="2">
        <v>46259.0</v>
      </c>
      <c r="C43" s="1" t="s">
        <v>172</v>
      </c>
      <c r="D43" s="1" t="s">
        <v>30</v>
      </c>
      <c r="E43" s="1" t="s">
        <v>23</v>
      </c>
      <c r="F43" s="1">
        <v>183.0</v>
      </c>
      <c r="G43" s="1" t="s">
        <v>18</v>
      </c>
    </row>
    <row r="44">
      <c r="A44" s="1" t="s">
        <v>199</v>
      </c>
      <c r="B44" s="2">
        <v>46181.0</v>
      </c>
      <c r="C44" s="1" t="s">
        <v>200</v>
      </c>
      <c r="D44" s="1" t="s">
        <v>30</v>
      </c>
      <c r="E44" s="1" t="s">
        <v>23</v>
      </c>
      <c r="F44" s="1">
        <v>186.0</v>
      </c>
      <c r="G44" s="1" t="s">
        <v>18</v>
      </c>
    </row>
    <row r="45">
      <c r="A45" s="1" t="s">
        <v>191</v>
      </c>
      <c r="B45" s="2">
        <v>46251.0</v>
      </c>
      <c r="C45" s="1" t="s">
        <v>192</v>
      </c>
      <c r="D45" s="1" t="s">
        <v>30</v>
      </c>
      <c r="E45" s="1" t="s">
        <v>23</v>
      </c>
      <c r="F45" s="1">
        <v>187.0</v>
      </c>
      <c r="G45" s="1" t="s">
        <v>18</v>
      </c>
    </row>
    <row r="46">
      <c r="A46" s="1" t="s">
        <v>20</v>
      </c>
      <c r="B46" s="2">
        <v>46120.0</v>
      </c>
      <c r="C46" s="1" t="s">
        <v>22</v>
      </c>
      <c r="D46" s="1" t="s">
        <v>15</v>
      </c>
      <c r="E46" s="1" t="s">
        <v>23</v>
      </c>
      <c r="F46" s="1">
        <v>188.0</v>
      </c>
      <c r="G46" s="1" t="s">
        <v>18</v>
      </c>
    </row>
    <row r="47">
      <c r="A47" s="1" t="s">
        <v>127</v>
      </c>
      <c r="B47" s="2">
        <v>46248.0</v>
      </c>
      <c r="C47" s="5" t="s">
        <v>227</v>
      </c>
      <c r="D47" s="1" t="s">
        <v>17</v>
      </c>
      <c r="E47" s="1" t="s">
        <v>35</v>
      </c>
      <c r="F47" s="1">
        <v>190.0</v>
      </c>
      <c r="G47" s="1" t="s">
        <v>18</v>
      </c>
    </row>
    <row r="48">
      <c r="A48" s="1" t="s">
        <v>244</v>
      </c>
      <c r="B48" s="2">
        <v>46260.0</v>
      </c>
      <c r="C48" s="1" t="s">
        <v>246</v>
      </c>
      <c r="D48" s="1" t="s">
        <v>17</v>
      </c>
      <c r="E48" s="1" t="s">
        <v>35</v>
      </c>
      <c r="F48" s="1">
        <v>192.0</v>
      </c>
      <c r="G48" s="1" t="s">
        <v>18</v>
      </c>
    </row>
    <row r="49">
      <c r="A49" s="1" t="s">
        <v>260</v>
      </c>
      <c r="B49" s="2">
        <v>46061.0</v>
      </c>
      <c r="C49" s="1" t="s">
        <v>261</v>
      </c>
      <c r="D49" s="1" t="s">
        <v>30</v>
      </c>
      <c r="E49" s="1" t="s">
        <v>23</v>
      </c>
      <c r="F49" s="1">
        <v>197.0</v>
      </c>
      <c r="G49" s="1" t="s">
        <v>18</v>
      </c>
    </row>
    <row r="50">
      <c r="A50" s="1" t="s">
        <v>107</v>
      </c>
      <c r="B50" s="2">
        <v>46260.0</v>
      </c>
      <c r="C50" s="1" t="s">
        <v>109</v>
      </c>
      <c r="D50" s="1" t="s">
        <v>15</v>
      </c>
      <c r="E50" s="1" t="s">
        <v>55</v>
      </c>
      <c r="F50" s="1">
        <v>198.0</v>
      </c>
      <c r="G50" s="1" t="s">
        <v>18</v>
      </c>
    </row>
    <row r="51">
      <c r="A51" s="1" t="s">
        <v>248</v>
      </c>
      <c r="B51" s="2">
        <v>46273.0</v>
      </c>
      <c r="C51" s="1" t="s">
        <v>250</v>
      </c>
      <c r="D51" s="1" t="s">
        <v>38</v>
      </c>
      <c r="E51" s="1" t="s">
        <v>35</v>
      </c>
      <c r="F51" s="1">
        <v>200.0</v>
      </c>
      <c r="G51" s="1" t="s">
        <v>18</v>
      </c>
    </row>
    <row r="52">
      <c r="A52" s="1" t="s">
        <v>83</v>
      </c>
      <c r="B52" s="2">
        <v>46211.0</v>
      </c>
      <c r="C52" s="1" t="s">
        <v>84</v>
      </c>
      <c r="D52" s="1" t="s">
        <v>30</v>
      </c>
      <c r="E52" s="1" t="s">
        <v>55</v>
      </c>
      <c r="F52" s="1">
        <v>205.0</v>
      </c>
      <c r="G52" s="1" t="s">
        <v>18</v>
      </c>
    </row>
    <row r="53">
      <c r="A53" s="1" t="s">
        <v>89</v>
      </c>
      <c r="B53" s="2">
        <v>46334.0</v>
      </c>
      <c r="C53" s="1" t="s">
        <v>90</v>
      </c>
      <c r="D53" s="1" t="s">
        <v>38</v>
      </c>
      <c r="E53" s="1" t="s">
        <v>23</v>
      </c>
      <c r="F53" s="1">
        <v>208.0</v>
      </c>
      <c r="G53" s="1" t="s">
        <v>18</v>
      </c>
    </row>
    <row r="54">
      <c r="A54" s="1" t="s">
        <v>125</v>
      </c>
      <c r="B54" s="2">
        <v>46256.0</v>
      </c>
      <c r="C54" s="1" t="s">
        <v>126</v>
      </c>
      <c r="D54" s="1" t="s">
        <v>30</v>
      </c>
      <c r="E54" s="1" t="s">
        <v>27</v>
      </c>
      <c r="F54" s="1">
        <v>213.0</v>
      </c>
      <c r="G54" s="1" t="s">
        <v>18</v>
      </c>
    </row>
    <row r="55">
      <c r="A55" s="1" t="s">
        <v>203</v>
      </c>
      <c r="B55" s="2">
        <v>46260.0</v>
      </c>
      <c r="C55" s="1" t="s">
        <v>204</v>
      </c>
      <c r="D55" s="1" t="s">
        <v>15</v>
      </c>
      <c r="E55" s="1" t="s">
        <v>35</v>
      </c>
      <c r="F55" s="1">
        <v>213.0</v>
      </c>
      <c r="G55" s="1" t="s">
        <v>18</v>
      </c>
    </row>
    <row r="56">
      <c r="A56" s="1" t="s">
        <v>168</v>
      </c>
      <c r="B56" s="2">
        <v>46211.0</v>
      </c>
      <c r="C56" s="1" t="s">
        <v>169</v>
      </c>
      <c r="D56" s="1" t="s">
        <v>30</v>
      </c>
      <c r="E56" s="1" t="s">
        <v>19</v>
      </c>
      <c r="F56" s="1">
        <v>214.0</v>
      </c>
      <c r="G56" s="1" t="s">
        <v>18</v>
      </c>
    </row>
    <row r="57">
      <c r="A57" s="1" t="s">
        <v>121</v>
      </c>
      <c r="B57" s="2">
        <v>46334.0</v>
      </c>
      <c r="C57" s="1" t="s">
        <v>122</v>
      </c>
      <c r="D57" s="1" t="s">
        <v>30</v>
      </c>
      <c r="E57" s="1" t="s">
        <v>23</v>
      </c>
      <c r="F57" s="1">
        <v>215.0</v>
      </c>
      <c r="G57" s="1" t="s">
        <v>18</v>
      </c>
    </row>
    <row r="58">
      <c r="A58" s="1" t="s">
        <v>117</v>
      </c>
      <c r="B58" s="2">
        <v>46263.0</v>
      </c>
      <c r="C58" s="1" t="s">
        <v>118</v>
      </c>
      <c r="D58" s="1" t="s">
        <v>33</v>
      </c>
      <c r="E58" s="1" t="s">
        <v>35</v>
      </c>
      <c r="F58" s="1">
        <v>216.0</v>
      </c>
      <c r="G58" s="1" t="s">
        <v>18</v>
      </c>
    </row>
    <row r="59">
      <c r="A59" s="1" t="s">
        <v>236</v>
      </c>
      <c r="B59" s="2">
        <v>46303.0</v>
      </c>
      <c r="C59" s="1" t="s">
        <v>237</v>
      </c>
      <c r="D59" s="1" t="s">
        <v>38</v>
      </c>
      <c r="E59" s="1" t="s">
        <v>19</v>
      </c>
      <c r="F59" s="1">
        <v>217.0</v>
      </c>
      <c r="G59" s="1" t="s">
        <v>46</v>
      </c>
    </row>
    <row r="60">
      <c r="A60" s="1" t="s">
        <v>186</v>
      </c>
      <c r="B60" s="2">
        <v>46255.0</v>
      </c>
      <c r="C60" s="1" t="s">
        <v>124</v>
      </c>
      <c r="D60" s="1" t="s">
        <v>15</v>
      </c>
      <c r="E60" s="1" t="s">
        <v>23</v>
      </c>
      <c r="F60" s="1">
        <v>218.0</v>
      </c>
      <c r="G60" s="1" t="s">
        <v>18</v>
      </c>
    </row>
    <row r="61">
      <c r="A61" s="1" t="s">
        <v>197</v>
      </c>
      <c r="B61" s="2">
        <v>46150.0</v>
      </c>
      <c r="C61" s="1" t="s">
        <v>198</v>
      </c>
      <c r="D61" s="1" t="s">
        <v>30</v>
      </c>
      <c r="E61" s="5" t="s">
        <v>227</v>
      </c>
      <c r="F61" s="1">
        <v>218.0</v>
      </c>
      <c r="G61" s="1" t="s">
        <v>18</v>
      </c>
    </row>
    <row r="62">
      <c r="A62" s="1" t="s">
        <v>56</v>
      </c>
      <c r="B62" s="2">
        <v>46334.0</v>
      </c>
      <c r="C62" s="1" t="s">
        <v>57</v>
      </c>
      <c r="D62" s="1" t="s">
        <v>30</v>
      </c>
      <c r="E62" s="1" t="s">
        <v>55</v>
      </c>
      <c r="F62" s="1">
        <v>219.0</v>
      </c>
      <c r="G62" s="1" t="s">
        <v>18</v>
      </c>
    </row>
    <row r="63">
      <c r="A63" s="1" t="s">
        <v>235</v>
      </c>
      <c r="B63" s="2">
        <v>46089.0</v>
      </c>
      <c r="C63" s="1" t="s">
        <v>156</v>
      </c>
      <c r="D63" s="1" t="s">
        <v>17</v>
      </c>
      <c r="E63" s="1" t="s">
        <v>23</v>
      </c>
      <c r="F63" s="1">
        <v>220.0</v>
      </c>
      <c r="G63" s="1" t="s">
        <v>18</v>
      </c>
    </row>
    <row r="64">
      <c r="A64" s="1" t="s">
        <v>132</v>
      </c>
      <c r="B64" s="2">
        <v>46257.0</v>
      </c>
      <c r="C64" s="1" t="s">
        <v>134</v>
      </c>
      <c r="D64" s="1" t="s">
        <v>51</v>
      </c>
      <c r="E64" s="5" t="s">
        <v>227</v>
      </c>
      <c r="F64" s="1">
        <v>223.0</v>
      </c>
      <c r="G64" s="1" t="s">
        <v>18</v>
      </c>
    </row>
    <row r="65">
      <c r="A65" s="1" t="s">
        <v>170</v>
      </c>
      <c r="B65" s="2">
        <v>46030.0</v>
      </c>
      <c r="C65" s="5" t="s">
        <v>227</v>
      </c>
      <c r="D65" s="1" t="s">
        <v>33</v>
      </c>
      <c r="E65" s="1" t="s">
        <v>55</v>
      </c>
      <c r="F65" s="1">
        <v>223.0</v>
      </c>
      <c r="G65" s="1" t="s">
        <v>18</v>
      </c>
    </row>
    <row r="66">
      <c r="A66" s="1" t="s">
        <v>155</v>
      </c>
      <c r="B66" s="2">
        <v>46255.0</v>
      </c>
      <c r="C66" s="1" t="s">
        <v>156</v>
      </c>
      <c r="D66" s="1" t="s">
        <v>33</v>
      </c>
      <c r="E66" s="1" t="s">
        <v>19</v>
      </c>
      <c r="F66" s="1">
        <v>224.0</v>
      </c>
      <c r="G66" s="1" t="s">
        <v>18</v>
      </c>
    </row>
    <row r="67">
      <c r="A67" s="1" t="s">
        <v>67</v>
      </c>
      <c r="B67" s="2">
        <v>46251.0</v>
      </c>
      <c r="C67" s="1" t="s">
        <v>69</v>
      </c>
      <c r="D67" s="1" t="s">
        <v>15</v>
      </c>
      <c r="E67" s="1" t="s">
        <v>55</v>
      </c>
      <c r="F67" s="1">
        <v>225.0</v>
      </c>
      <c r="G67" s="1" t="s">
        <v>18</v>
      </c>
    </row>
    <row r="68">
      <c r="A68" s="1" t="s">
        <v>146</v>
      </c>
      <c r="B68" s="2">
        <v>46247.0</v>
      </c>
      <c r="C68" s="1" t="s">
        <v>147</v>
      </c>
      <c r="D68" s="1" t="s">
        <v>30</v>
      </c>
      <c r="E68" s="1" t="s">
        <v>23</v>
      </c>
      <c r="F68" s="1">
        <v>225.0</v>
      </c>
      <c r="G68" s="1" t="s">
        <v>46</v>
      </c>
    </row>
    <row r="69">
      <c r="A69" s="1" t="s">
        <v>252</v>
      </c>
      <c r="B69" s="2">
        <v>46253.0</v>
      </c>
      <c r="C69" s="1" t="s">
        <v>253</v>
      </c>
      <c r="D69" s="1" t="s">
        <v>38</v>
      </c>
      <c r="E69" s="1" t="s">
        <v>35</v>
      </c>
      <c r="F69" s="1">
        <v>225.0</v>
      </c>
      <c r="G69" s="1" t="s">
        <v>46</v>
      </c>
    </row>
    <row r="70">
      <c r="A70" s="1" t="s">
        <v>162</v>
      </c>
      <c r="B70" s="2">
        <v>46254.0</v>
      </c>
      <c r="C70" s="1" t="s">
        <v>163</v>
      </c>
      <c r="D70" s="1" t="s">
        <v>17</v>
      </c>
      <c r="E70" s="1" t="s">
        <v>55</v>
      </c>
      <c r="F70" s="1">
        <v>226.0</v>
      </c>
      <c r="G70" s="1" t="s">
        <v>18</v>
      </c>
    </row>
    <row r="71">
      <c r="A71" s="1" t="s">
        <v>173</v>
      </c>
      <c r="B71" s="2">
        <v>46258.0</v>
      </c>
      <c r="C71" s="1" t="s">
        <v>174</v>
      </c>
      <c r="D71" s="1" t="s">
        <v>51</v>
      </c>
      <c r="E71" s="1" t="s">
        <v>19</v>
      </c>
      <c r="F71" s="1">
        <v>226.0</v>
      </c>
      <c r="G71" s="1" t="s">
        <v>18</v>
      </c>
    </row>
    <row r="72">
      <c r="A72" s="1" t="s">
        <v>206</v>
      </c>
      <c r="B72" s="2">
        <v>46255.0</v>
      </c>
      <c r="C72" s="1" t="s">
        <v>207</v>
      </c>
      <c r="D72" s="1" t="s">
        <v>33</v>
      </c>
      <c r="E72" s="1" t="s">
        <v>23</v>
      </c>
      <c r="F72" s="1">
        <v>226.0</v>
      </c>
      <c r="G72" s="1" t="s">
        <v>18</v>
      </c>
    </row>
    <row r="73">
      <c r="A73" s="1" t="s">
        <v>148</v>
      </c>
      <c r="B73" s="2">
        <v>46258.0</v>
      </c>
      <c r="C73" s="1" t="s">
        <v>149</v>
      </c>
      <c r="D73" s="1" t="s">
        <v>30</v>
      </c>
      <c r="E73" s="1" t="s">
        <v>23</v>
      </c>
      <c r="F73" s="1">
        <v>228.0</v>
      </c>
      <c r="G73" s="1" t="s">
        <v>18</v>
      </c>
    </row>
    <row r="74">
      <c r="A74" s="1" t="s">
        <v>211</v>
      </c>
      <c r="B74" s="2">
        <v>46250.0</v>
      </c>
      <c r="C74" s="1" t="s">
        <v>212</v>
      </c>
      <c r="D74" s="1" t="s">
        <v>33</v>
      </c>
      <c r="E74" s="5" t="s">
        <v>227</v>
      </c>
      <c r="F74" s="1">
        <v>228.0</v>
      </c>
      <c r="G74" s="1" t="s">
        <v>18</v>
      </c>
    </row>
    <row r="75">
      <c r="A75" s="1" t="s">
        <v>219</v>
      </c>
      <c r="B75" s="2">
        <v>46150.0</v>
      </c>
      <c r="C75" s="1" t="s">
        <v>220</v>
      </c>
      <c r="D75" s="1" t="s">
        <v>33</v>
      </c>
      <c r="E75" s="1" t="s">
        <v>19</v>
      </c>
      <c r="F75" s="1">
        <v>228.0</v>
      </c>
      <c r="G75" s="1" t="s">
        <v>18</v>
      </c>
    </row>
    <row r="76">
      <c r="A76" s="1" t="s">
        <v>93</v>
      </c>
      <c r="B76" s="2">
        <v>46263.0</v>
      </c>
      <c r="C76" s="1" t="s">
        <v>94</v>
      </c>
      <c r="D76" s="1" t="s">
        <v>17</v>
      </c>
      <c r="E76" s="1" t="s">
        <v>55</v>
      </c>
      <c r="F76" s="1">
        <v>230.0</v>
      </c>
      <c r="G76" s="1" t="s">
        <v>18</v>
      </c>
    </row>
    <row r="77">
      <c r="A77" s="1" t="s">
        <v>151</v>
      </c>
      <c r="B77" s="2">
        <v>46250.0</v>
      </c>
      <c r="C77" s="1" t="s">
        <v>152</v>
      </c>
      <c r="D77" s="1" t="s">
        <v>38</v>
      </c>
      <c r="E77" s="1" t="s">
        <v>55</v>
      </c>
      <c r="F77" s="1">
        <v>230.0</v>
      </c>
      <c r="G77" s="1" t="s">
        <v>18</v>
      </c>
    </row>
    <row r="78">
      <c r="A78" s="1" t="s">
        <v>153</v>
      </c>
      <c r="B78" s="2">
        <v>46273.0</v>
      </c>
      <c r="C78" s="1" t="s">
        <v>154</v>
      </c>
      <c r="D78" s="1" t="s">
        <v>51</v>
      </c>
      <c r="E78" s="1" t="s">
        <v>23</v>
      </c>
      <c r="F78" s="1">
        <v>232.0</v>
      </c>
      <c r="G78" s="1" t="s">
        <v>18</v>
      </c>
    </row>
    <row r="79">
      <c r="A79" s="1" t="s">
        <v>178</v>
      </c>
      <c r="B79" s="2">
        <v>46273.0</v>
      </c>
      <c r="C79" s="1" t="s">
        <v>179</v>
      </c>
      <c r="D79" s="1" t="s">
        <v>30</v>
      </c>
      <c r="E79" s="1" t="s">
        <v>23</v>
      </c>
      <c r="F79" s="1">
        <v>233.0</v>
      </c>
      <c r="G79" s="1" t="s">
        <v>46</v>
      </c>
    </row>
    <row r="80">
      <c r="A80" s="1" t="s">
        <v>201</v>
      </c>
      <c r="B80" s="2">
        <v>46252.0</v>
      </c>
      <c r="C80" s="1" t="s">
        <v>202</v>
      </c>
      <c r="D80" s="1" t="s">
        <v>33</v>
      </c>
      <c r="E80" s="1" t="s">
        <v>35</v>
      </c>
      <c r="F80" s="1">
        <v>233.0</v>
      </c>
      <c r="G80" s="1" t="s">
        <v>18</v>
      </c>
    </row>
    <row r="81">
      <c r="A81" s="1" t="s">
        <v>240</v>
      </c>
      <c r="B81" s="2">
        <v>46252.0</v>
      </c>
      <c r="C81" s="1" t="s">
        <v>241</v>
      </c>
      <c r="D81" s="1" t="s">
        <v>17</v>
      </c>
      <c r="E81" s="1" t="s">
        <v>35</v>
      </c>
      <c r="F81" s="1">
        <v>233.0</v>
      </c>
      <c r="G81" s="1" t="s">
        <v>18</v>
      </c>
    </row>
    <row r="82">
      <c r="A82" s="1" t="s">
        <v>265</v>
      </c>
      <c r="B82" s="2">
        <v>46256.0</v>
      </c>
      <c r="C82" s="1" t="s">
        <v>214</v>
      </c>
      <c r="D82" s="1" t="s">
        <v>30</v>
      </c>
      <c r="E82" s="1" t="s">
        <v>27</v>
      </c>
      <c r="F82" s="1">
        <v>233.0</v>
      </c>
      <c r="G82" s="1" t="s">
        <v>18</v>
      </c>
    </row>
    <row r="83">
      <c r="A83" s="1" t="s">
        <v>136</v>
      </c>
      <c r="B83" s="2">
        <v>46249.0</v>
      </c>
      <c r="C83" s="1" t="s">
        <v>137</v>
      </c>
      <c r="D83" s="1" t="s">
        <v>51</v>
      </c>
      <c r="E83" s="1" t="s">
        <v>23</v>
      </c>
      <c r="F83" s="1">
        <v>236.0</v>
      </c>
      <c r="G83" s="1" t="s">
        <v>18</v>
      </c>
    </row>
    <row r="84">
      <c r="A84" s="1" t="s">
        <v>223</v>
      </c>
      <c r="B84" s="2">
        <v>46089.0</v>
      </c>
      <c r="C84" s="1" t="s">
        <v>224</v>
      </c>
      <c r="D84" s="1" t="s">
        <v>17</v>
      </c>
      <c r="E84" s="1" t="s">
        <v>27</v>
      </c>
      <c r="F84" s="1">
        <v>236.0</v>
      </c>
      <c r="G84" s="1" t="s">
        <v>46</v>
      </c>
    </row>
    <row r="85">
      <c r="A85" s="1" t="s">
        <v>257</v>
      </c>
      <c r="B85" s="2">
        <v>46258.0</v>
      </c>
      <c r="C85" s="1" t="s">
        <v>258</v>
      </c>
      <c r="D85" s="1" t="s">
        <v>51</v>
      </c>
      <c r="E85" s="1" t="s">
        <v>23</v>
      </c>
      <c r="F85" s="1">
        <v>238.0</v>
      </c>
      <c r="G85" s="1" t="s">
        <v>18</v>
      </c>
    </row>
    <row r="86">
      <c r="A86" s="1" t="s">
        <v>11</v>
      </c>
      <c r="B86" s="2">
        <v>46255.0</v>
      </c>
      <c r="C86" s="1" t="s">
        <v>14</v>
      </c>
      <c r="D86" s="1" t="s">
        <v>15</v>
      </c>
      <c r="E86" s="5" t="s">
        <v>227</v>
      </c>
      <c r="F86" s="1">
        <v>239.0</v>
      </c>
      <c r="G86" s="1" t="s">
        <v>18</v>
      </c>
    </row>
    <row r="87">
      <c r="A87" s="1" t="s">
        <v>254</v>
      </c>
      <c r="B87" s="2">
        <v>46258.0</v>
      </c>
      <c r="C87" s="1" t="s">
        <v>256</v>
      </c>
      <c r="D87" s="1" t="s">
        <v>30</v>
      </c>
      <c r="E87" s="1" t="s">
        <v>19</v>
      </c>
      <c r="F87" s="1">
        <v>240.0</v>
      </c>
      <c r="G87" s="1" t="s">
        <v>18</v>
      </c>
    </row>
    <row r="88">
      <c r="A88" s="1" t="s">
        <v>44</v>
      </c>
      <c r="B88" s="2">
        <v>46257.0</v>
      </c>
      <c r="C88" s="1" t="s">
        <v>45</v>
      </c>
      <c r="D88" s="1" t="s">
        <v>33</v>
      </c>
      <c r="E88" s="1" t="s">
        <v>27</v>
      </c>
      <c r="F88" s="1">
        <v>243.0</v>
      </c>
      <c r="G88" s="1" t="s">
        <v>46</v>
      </c>
    </row>
    <row r="89">
      <c r="A89" s="1" t="s">
        <v>263</v>
      </c>
      <c r="B89" s="2">
        <v>46242.0</v>
      </c>
      <c r="C89" s="1" t="s">
        <v>264</v>
      </c>
      <c r="D89" s="1" t="s">
        <v>38</v>
      </c>
      <c r="E89" s="5" t="s">
        <v>227</v>
      </c>
      <c r="F89" s="1">
        <v>245.0</v>
      </c>
      <c r="G89" s="1" t="s">
        <v>46</v>
      </c>
    </row>
    <row r="90">
      <c r="A90" s="1" t="s">
        <v>189</v>
      </c>
      <c r="B90" s="2">
        <v>46364.0</v>
      </c>
      <c r="C90" s="1" t="s">
        <v>190</v>
      </c>
      <c r="D90" s="1" t="s">
        <v>33</v>
      </c>
      <c r="E90" s="1" t="s">
        <v>27</v>
      </c>
      <c r="F90" s="1">
        <v>246.0</v>
      </c>
      <c r="G90" s="1" t="s">
        <v>18</v>
      </c>
    </row>
    <row r="91">
      <c r="A91" s="1" t="s">
        <v>13</v>
      </c>
      <c r="B91" s="2">
        <v>46089.0</v>
      </c>
      <c r="C91" s="1" t="s">
        <v>16</v>
      </c>
      <c r="D91" s="1" t="s">
        <v>17</v>
      </c>
      <c r="E91" s="1" t="s">
        <v>19</v>
      </c>
      <c r="F91" s="5">
        <v>248.0</v>
      </c>
      <c r="G91" s="1" t="s">
        <v>18</v>
      </c>
    </row>
    <row r="92">
      <c r="A92" s="1" t="s">
        <v>24</v>
      </c>
      <c r="B92" s="2">
        <v>46030.0</v>
      </c>
      <c r="C92" s="1" t="s">
        <v>26</v>
      </c>
      <c r="D92" s="1" t="s">
        <v>17</v>
      </c>
      <c r="E92" s="1" t="s">
        <v>27</v>
      </c>
      <c r="F92" s="1">
        <v>251.0</v>
      </c>
      <c r="G92" s="1" t="s">
        <v>18</v>
      </c>
    </row>
    <row r="93">
      <c r="A93" s="1" t="s">
        <v>259</v>
      </c>
      <c r="B93" s="2">
        <v>46303.0</v>
      </c>
      <c r="C93" s="1" t="s">
        <v>145</v>
      </c>
      <c r="D93" s="1" t="s">
        <v>38</v>
      </c>
      <c r="E93" s="1" t="s">
        <v>23</v>
      </c>
      <c r="F93" s="1">
        <v>251.0</v>
      </c>
      <c r="G93" s="1" t="s">
        <v>46</v>
      </c>
    </row>
    <row r="94">
      <c r="A94" s="1" t="s">
        <v>123</v>
      </c>
      <c r="B94" s="2">
        <v>46254.0</v>
      </c>
      <c r="C94" s="1" t="s">
        <v>124</v>
      </c>
      <c r="D94" s="1" t="s">
        <v>38</v>
      </c>
      <c r="E94" s="1" t="s">
        <v>27</v>
      </c>
      <c r="F94" s="1">
        <v>258.0</v>
      </c>
      <c r="G94" s="1" t="s">
        <v>18</v>
      </c>
    </row>
    <row r="95">
      <c r="A95" s="1" t="s">
        <v>255</v>
      </c>
      <c r="B95" s="2">
        <v>46265.0</v>
      </c>
      <c r="C95" s="1" t="s">
        <v>243</v>
      </c>
      <c r="D95" s="1" t="s">
        <v>38</v>
      </c>
      <c r="E95" s="1" t="s">
        <v>19</v>
      </c>
      <c r="F95" s="1">
        <v>259.0</v>
      </c>
      <c r="G95" s="1" t="s">
        <v>18</v>
      </c>
    </row>
    <row r="96">
      <c r="A96" s="1" t="s">
        <v>41</v>
      </c>
      <c r="B96" s="2">
        <v>46150.0</v>
      </c>
      <c r="C96" s="1" t="s">
        <v>42</v>
      </c>
      <c r="D96" s="1" t="s">
        <v>33</v>
      </c>
      <c r="E96" s="1" t="s">
        <v>35</v>
      </c>
      <c r="F96" s="1">
        <v>261.0</v>
      </c>
      <c r="G96" s="1" t="s">
        <v>18</v>
      </c>
    </row>
    <row r="97">
      <c r="A97" s="1" t="s">
        <v>229</v>
      </c>
      <c r="B97" s="2">
        <v>46364.0</v>
      </c>
      <c r="C97" s="1" t="s">
        <v>230</v>
      </c>
      <c r="D97" s="1" t="s">
        <v>17</v>
      </c>
      <c r="E97" s="5" t="s">
        <v>227</v>
      </c>
      <c r="F97" s="1">
        <v>261.0</v>
      </c>
      <c r="G97" s="1" t="s">
        <v>18</v>
      </c>
    </row>
    <row r="98">
      <c r="A98" s="1" t="s">
        <v>113</v>
      </c>
      <c r="B98" s="2">
        <v>46030.0</v>
      </c>
      <c r="C98" s="1" t="s">
        <v>114</v>
      </c>
      <c r="D98" s="1" t="s">
        <v>17</v>
      </c>
      <c r="E98" s="1" t="s">
        <v>23</v>
      </c>
      <c r="F98" s="1">
        <v>265.0</v>
      </c>
      <c r="G98" s="1" t="s">
        <v>46</v>
      </c>
    </row>
    <row r="99">
      <c r="A99" s="1" t="s">
        <v>157</v>
      </c>
      <c r="B99" s="2">
        <v>46255.0</v>
      </c>
      <c r="C99" s="1" t="s">
        <v>158</v>
      </c>
      <c r="D99" s="1" t="s">
        <v>30</v>
      </c>
      <c r="E99" s="1" t="s">
        <v>27</v>
      </c>
      <c r="F99" s="1">
        <v>267.0</v>
      </c>
      <c r="G99" s="1" t="s">
        <v>46</v>
      </c>
    </row>
    <row r="100">
      <c r="A100" s="1" t="s">
        <v>213</v>
      </c>
      <c r="B100" s="2">
        <v>46264.0</v>
      </c>
      <c r="C100" s="1" t="s">
        <v>214</v>
      </c>
      <c r="D100" s="1" t="s">
        <v>17</v>
      </c>
      <c r="E100" s="1" t="s">
        <v>27</v>
      </c>
      <c r="F100" s="1">
        <v>270.0</v>
      </c>
      <c r="G100" s="1" t="s">
        <v>46</v>
      </c>
    </row>
    <row r="101">
      <c r="A101" s="1" t="s">
        <v>245</v>
      </c>
      <c r="B101" s="2">
        <v>46259.0</v>
      </c>
      <c r="C101" s="1" t="s">
        <v>247</v>
      </c>
      <c r="D101" s="1" t="s">
        <v>17</v>
      </c>
      <c r="E101" s="1" t="s">
        <v>27</v>
      </c>
      <c r="F101" s="1">
        <v>270.0</v>
      </c>
      <c r="G101" s="1" t="s">
        <v>18</v>
      </c>
    </row>
    <row r="102">
      <c r="A102" s="1" t="s">
        <v>249</v>
      </c>
      <c r="B102" s="2">
        <v>46263.0</v>
      </c>
      <c r="C102" s="1" t="s">
        <v>251</v>
      </c>
      <c r="D102" s="1" t="s">
        <v>51</v>
      </c>
      <c r="E102" s="1" t="s">
        <v>19</v>
      </c>
      <c r="F102" s="1">
        <v>270.0</v>
      </c>
      <c r="G102" s="1" t="s">
        <v>46</v>
      </c>
    </row>
    <row r="103">
      <c r="A103" s="1" t="s">
        <v>166</v>
      </c>
      <c r="B103" s="2">
        <v>46120.0</v>
      </c>
      <c r="C103" s="1" t="s">
        <v>167</v>
      </c>
      <c r="D103" s="1" t="s">
        <v>15</v>
      </c>
      <c r="E103" s="5" t="s">
        <v>227</v>
      </c>
      <c r="F103" s="1">
        <v>272.0</v>
      </c>
      <c r="G103" s="1" t="s">
        <v>18</v>
      </c>
    </row>
    <row r="104">
      <c r="A104" s="1" t="s">
        <v>175</v>
      </c>
      <c r="B104" s="2">
        <v>46250.0</v>
      </c>
      <c r="C104" s="1" t="s">
        <v>176</v>
      </c>
      <c r="D104" s="1" t="s">
        <v>15</v>
      </c>
      <c r="E104" s="1" t="s">
        <v>23</v>
      </c>
      <c r="F104" s="1">
        <v>276.0</v>
      </c>
      <c r="G104" s="1" t="s">
        <v>18</v>
      </c>
    </row>
    <row r="105">
      <c r="A105" s="1" t="s">
        <v>164</v>
      </c>
      <c r="B105" s="2">
        <v>46211.0</v>
      </c>
      <c r="C105" s="1" t="s">
        <v>165</v>
      </c>
      <c r="D105" s="1" t="s">
        <v>17</v>
      </c>
      <c r="E105" s="1" t="s">
        <v>55</v>
      </c>
      <c r="F105" s="1">
        <v>278.0</v>
      </c>
      <c r="G105" s="1" t="s">
        <v>46</v>
      </c>
    </row>
    <row r="106">
      <c r="A106" s="1" t="s">
        <v>232</v>
      </c>
      <c r="B106" s="2">
        <v>46364.0</v>
      </c>
      <c r="C106" s="1" t="s">
        <v>234</v>
      </c>
      <c r="D106" s="1" t="s">
        <v>51</v>
      </c>
      <c r="E106" s="5" t="s">
        <v>55</v>
      </c>
      <c r="F106" s="1">
        <v>282.0</v>
      </c>
      <c r="G106" s="1" t="s">
        <v>18</v>
      </c>
    </row>
    <row r="107">
      <c r="A107" s="1" t="s">
        <v>140</v>
      </c>
      <c r="B107" s="2">
        <v>46030.0</v>
      </c>
      <c r="C107" s="1" t="s">
        <v>141</v>
      </c>
      <c r="D107" s="1" t="s">
        <v>38</v>
      </c>
      <c r="E107" s="5" t="s">
        <v>19</v>
      </c>
      <c r="F107" s="1">
        <v>284.0</v>
      </c>
      <c r="G107" s="1" t="s">
        <v>18</v>
      </c>
    </row>
    <row r="108">
      <c r="A108" s="1" t="s">
        <v>228</v>
      </c>
      <c r="B108" s="2">
        <v>46265.0</v>
      </c>
      <c r="C108" s="1" t="s">
        <v>78</v>
      </c>
      <c r="D108" s="1" t="s">
        <v>38</v>
      </c>
      <c r="E108" s="5" t="s">
        <v>23</v>
      </c>
      <c r="F108" s="1">
        <v>313.0</v>
      </c>
      <c r="G108" s="1" t="s">
        <v>18</v>
      </c>
    </row>
    <row r="109">
      <c r="A109" s="1" t="s">
        <v>76</v>
      </c>
      <c r="B109" s="2">
        <v>46264.0</v>
      </c>
      <c r="C109" s="1" t="s">
        <v>78</v>
      </c>
      <c r="D109" s="1" t="s">
        <v>30</v>
      </c>
      <c r="E109" s="5" t="s">
        <v>27</v>
      </c>
      <c r="F109" s="1">
        <v>317.0</v>
      </c>
      <c r="G109" s="1" t="s">
        <v>18</v>
      </c>
    </row>
    <row r="110">
      <c r="A110" s="1" t="s">
        <v>28</v>
      </c>
      <c r="B110" s="2">
        <v>46258.0</v>
      </c>
      <c r="C110" s="1" t="s">
        <v>29</v>
      </c>
      <c r="D110" s="1" t="s">
        <v>30</v>
      </c>
      <c r="E110" s="5" t="s">
        <v>23</v>
      </c>
      <c r="F110" s="1">
        <v>321.0</v>
      </c>
      <c r="G110" s="1" t="s">
        <v>18</v>
      </c>
    </row>
    <row r="111">
      <c r="A111" s="1" t="s">
        <v>208</v>
      </c>
      <c r="B111" s="2">
        <v>46303.0</v>
      </c>
      <c r="C111" s="1" t="s">
        <v>209</v>
      </c>
      <c r="D111" s="1" t="s">
        <v>30</v>
      </c>
      <c r="E111" s="5" t="s">
        <v>27</v>
      </c>
      <c r="F111" s="1">
        <v>322.0</v>
      </c>
      <c r="G111" s="1" t="s">
        <v>18</v>
      </c>
    </row>
    <row r="112">
      <c r="A112" s="1" t="s">
        <v>215</v>
      </c>
      <c r="B112" s="2">
        <v>46273.0</v>
      </c>
      <c r="C112" s="1" t="s">
        <v>169</v>
      </c>
      <c r="D112" s="1" t="s">
        <v>33</v>
      </c>
      <c r="E112" s="5" t="s">
        <v>23</v>
      </c>
      <c r="F112" s="1">
        <v>323.0</v>
      </c>
      <c r="G112" s="1" t="s">
        <v>46</v>
      </c>
    </row>
    <row r="113">
      <c r="A113" s="1" t="s">
        <v>217</v>
      </c>
      <c r="B113" s="2">
        <v>46265.0</v>
      </c>
      <c r="C113" s="1" t="s">
        <v>73</v>
      </c>
      <c r="D113" s="1" t="s">
        <v>15</v>
      </c>
      <c r="E113" s="5" t="s">
        <v>35</v>
      </c>
      <c r="F113" s="1">
        <v>325.0</v>
      </c>
      <c r="G113" s="1" t="s">
        <v>46</v>
      </c>
    </row>
    <row r="114">
      <c r="A114" s="1" t="s">
        <v>39</v>
      </c>
      <c r="B114" s="2">
        <v>46242.0</v>
      </c>
      <c r="C114" s="1" t="s">
        <v>40</v>
      </c>
      <c r="D114" s="1" t="s">
        <v>15</v>
      </c>
      <c r="E114" s="5" t="s">
        <v>23</v>
      </c>
      <c r="F114" s="1">
        <v>326.0</v>
      </c>
      <c r="G114" s="1" t="s">
        <v>18</v>
      </c>
    </row>
    <row r="115">
      <c r="A115" s="1" t="s">
        <v>187</v>
      </c>
      <c r="B115" s="2">
        <v>46254.0</v>
      </c>
      <c r="C115" s="1" t="s">
        <v>188</v>
      </c>
      <c r="D115" s="1" t="s">
        <v>15</v>
      </c>
      <c r="E115" s="5" t="s">
        <v>35</v>
      </c>
      <c r="F115" s="1">
        <v>326.0</v>
      </c>
      <c r="G115" s="1" t="s">
        <v>46</v>
      </c>
    </row>
    <row r="116">
      <c r="A116" s="1" t="s">
        <v>108</v>
      </c>
      <c r="B116" s="2">
        <v>46248.0</v>
      </c>
      <c r="C116" s="1" t="s">
        <v>110</v>
      </c>
      <c r="D116" s="1" t="s">
        <v>51</v>
      </c>
      <c r="E116" s="5" t="s">
        <v>23</v>
      </c>
      <c r="F116" s="1">
        <v>345.0</v>
      </c>
      <c r="G116" s="1" t="s">
        <v>18</v>
      </c>
    </row>
    <row r="117">
      <c r="A117" s="1" t="s">
        <v>103</v>
      </c>
      <c r="B117" s="2">
        <v>46257.0</v>
      </c>
      <c r="C117" s="1" t="s">
        <v>104</v>
      </c>
      <c r="D117" s="1" t="s">
        <v>51</v>
      </c>
      <c r="E117" s="5" t="s">
        <v>23</v>
      </c>
      <c r="F117" s="1">
        <v>348.0</v>
      </c>
      <c r="G117" s="1" t="s">
        <v>18</v>
      </c>
    </row>
    <row r="118">
      <c r="A118" s="1" t="s">
        <v>95</v>
      </c>
      <c r="B118" s="2">
        <v>46261.0</v>
      </c>
      <c r="C118" s="1" t="s">
        <v>96</v>
      </c>
      <c r="D118" s="1" t="s">
        <v>30</v>
      </c>
      <c r="E118" s="5" t="s">
        <v>19</v>
      </c>
      <c r="F118" s="1">
        <v>352.0</v>
      </c>
      <c r="G118" s="1" t="s">
        <v>18</v>
      </c>
    </row>
    <row r="119">
      <c r="A119" s="1" t="s">
        <v>74</v>
      </c>
      <c r="B119" s="2">
        <v>46262.0</v>
      </c>
      <c r="C119" s="1" t="s">
        <v>75</v>
      </c>
      <c r="D119" s="1" t="s">
        <v>15</v>
      </c>
      <c r="E119" s="5" t="s">
        <v>27</v>
      </c>
      <c r="F119" s="1">
        <v>355.0</v>
      </c>
      <c r="G119" s="1" t="s">
        <v>18</v>
      </c>
    </row>
    <row r="120">
      <c r="A120" s="1" t="s">
        <v>65</v>
      </c>
      <c r="B120" s="2">
        <v>46253.0</v>
      </c>
      <c r="C120" s="1" t="s">
        <v>66</v>
      </c>
      <c r="D120" s="1" t="s">
        <v>17</v>
      </c>
      <c r="E120" s="5" t="s">
        <v>19</v>
      </c>
      <c r="F120" s="1">
        <v>356.0</v>
      </c>
      <c r="G120" s="1" t="s">
        <v>18</v>
      </c>
    </row>
    <row r="121">
      <c r="A121" s="1" t="s">
        <v>48</v>
      </c>
      <c r="B121" s="2">
        <v>46061.0</v>
      </c>
      <c r="C121" s="1" t="s">
        <v>50</v>
      </c>
      <c r="D121" s="1" t="s">
        <v>51</v>
      </c>
      <c r="E121" s="1" t="s">
        <v>23</v>
      </c>
      <c r="F121" s="1">
        <v>385.0</v>
      </c>
      <c r="G121" s="1" t="s">
        <v>18</v>
      </c>
    </row>
  </sheetData>
  <autoFilter ref="$A$1:$G$1000">
    <sortState ref="A1:G1000">
      <sortCondition ref="F1:F1000"/>
    </sortState>
  </autoFilter>
  <conditionalFormatting sqref="A1:A126">
    <cfRule type="expression" dxfId="0" priority="1">
      <formula>COUNTIF(A2:$A1000,A2)&gt;1</formula>
    </cfRule>
  </conditionalFormatting>
  <dataValidations>
    <dataValidation type="list" allowBlank="1" showDropDown="1" showErrorMessage="1" sqref="E2:E121">
      <formula1>"Bekasi,Bogor,Depok,Jakarta,Tangerang,N/A"</formula1>
    </dataValidation>
  </dataValidation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8.13"/>
    <col customWidth="1" min="7" max="7" width="26.2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9</v>
      </c>
      <c r="K1" s="1" t="s">
        <v>10</v>
      </c>
    </row>
    <row r="2">
      <c r="A2" s="1" t="s">
        <v>12</v>
      </c>
      <c r="B2" s="2">
        <v>46120.0</v>
      </c>
      <c r="C2" s="1" t="s">
        <v>21</v>
      </c>
      <c r="D2" s="1" t="str">
        <f t="array" ref="D2">_xlfn.XLOOKUP(C2,Master_Pelanggan!A:A,Master_Pelanggan!B:B)</f>
        <v>Nur Siregar</v>
      </c>
      <c r="E2" s="1" t="str">
        <f t="array" ref="E2">_xlfn.XLOOKUP(C2,Master_Pelanggan!A:A,Master_Pelanggan!D:D)</f>
        <v>Reguler</v>
      </c>
      <c r="F2" s="1" t="s">
        <v>33</v>
      </c>
      <c r="G2" s="1" t="str">
        <f t="array" ref="G2:G1000">IF(F2:F1000="", "", VLOOKUP(F2:F1000, 'Master Layanan PLN'!$A$2:$C$7, 2, FALSE))</f>
        <v>Rumah Tangga 1300 VA</v>
      </c>
      <c r="H2" s="1">
        <f t="array" ref="H2:H1000">IF(G2:G1000="", "", VLOOKUP(F2:F1000, 'Master Layanan PLN'!$A$2:$C$7, 3, FALSE))</f>
        <v>1444</v>
      </c>
      <c r="I2" s="1" t="s">
        <v>35</v>
      </c>
      <c r="J2" s="5">
        <v>218.0</v>
      </c>
      <c r="K2" s="1" t="s">
        <v>18</v>
      </c>
      <c r="M2" s="1"/>
    </row>
    <row r="3">
      <c r="A3" s="1" t="s">
        <v>58</v>
      </c>
      <c r="B3" s="2">
        <v>46256.0</v>
      </c>
      <c r="C3" s="1" t="s">
        <v>26</v>
      </c>
      <c r="D3" s="1" t="str">
        <f t="array" ref="D3">_xlfn.XLOOKUP(C3,Master_Pelanggan!A:A,Master_Pelanggan!B:B)</f>
        <v>Siti Saputra</v>
      </c>
      <c r="E3" s="1" t="str">
        <f t="array" ref="E3">_xlfn.XLOOKUP(C3,Master_Pelanggan!A:A,Master_Pelanggan!D:D)</f>
        <v>Reguler</v>
      </c>
      <c r="F3" s="1" t="s">
        <v>51</v>
      </c>
      <c r="G3" s="1" t="s">
        <v>139</v>
      </c>
      <c r="H3" s="1">
        <v>633.0</v>
      </c>
      <c r="I3" s="1" t="s">
        <v>23</v>
      </c>
      <c r="J3" s="1">
        <v>41.0</v>
      </c>
      <c r="K3" s="1" t="s">
        <v>18</v>
      </c>
      <c r="M3" s="1"/>
    </row>
    <row r="4">
      <c r="A4" s="1" t="s">
        <v>59</v>
      </c>
      <c r="B4" s="2">
        <v>46256.0</v>
      </c>
      <c r="C4" s="1" t="s">
        <v>60</v>
      </c>
      <c r="D4" s="1" t="str">
        <f t="array" ref="D4">_xlfn.XLOOKUP(C4,Master_Pelanggan!A:A,Master_Pelanggan!B:B)</f>
        <v>Rina Hidayat</v>
      </c>
      <c r="E4" s="1" t="str">
        <f t="array" ref="E4">_xlfn.XLOOKUP(C4,Master_Pelanggan!A:A,Master_Pelanggan!D:D)</f>
        <v>Reguler</v>
      </c>
      <c r="F4" s="1" t="s">
        <v>33</v>
      </c>
      <c r="G4" s="1" t="s">
        <v>150</v>
      </c>
      <c r="H4" s="1">
        <v>1444.0</v>
      </c>
      <c r="I4" s="1" t="s">
        <v>27</v>
      </c>
      <c r="J4" s="1">
        <v>61.0</v>
      </c>
      <c r="K4" s="1" t="s">
        <v>18</v>
      </c>
      <c r="M4" s="1"/>
    </row>
    <row r="5">
      <c r="A5" s="1" t="s">
        <v>72</v>
      </c>
      <c r="B5" s="2">
        <v>46030.0</v>
      </c>
      <c r="C5" s="1" t="s">
        <v>73</v>
      </c>
      <c r="D5" s="1" t="str">
        <f t="array" ref="D5">_xlfn.XLOOKUP(C5,Master_Pelanggan!A:A,Master_Pelanggan!B:B)</f>
        <v>Nina Syahputra</v>
      </c>
      <c r="E5" s="1" t="str">
        <f t="array" ref="E5">_xlfn.XLOOKUP(C5,Master_Pelanggan!A:A,Master_Pelanggan!D:D)</f>
        <v>Reguler</v>
      </c>
      <c r="F5" s="1" t="s">
        <v>17</v>
      </c>
      <c r="G5" s="1" t="s">
        <v>159</v>
      </c>
      <c r="H5" s="1">
        <v>1352.0</v>
      </c>
      <c r="I5" s="1" t="s">
        <v>55</v>
      </c>
      <c r="J5" s="1">
        <v>62.0</v>
      </c>
      <c r="K5" s="1" t="s">
        <v>18</v>
      </c>
      <c r="M5" s="5"/>
    </row>
    <row r="6">
      <c r="A6" s="1" t="s">
        <v>133</v>
      </c>
      <c r="B6" s="2">
        <v>46030.0</v>
      </c>
      <c r="C6" s="1" t="s">
        <v>135</v>
      </c>
      <c r="D6" s="1" t="str">
        <f t="array" ref="D6">_xlfn.XLOOKUP(C6,Master_Pelanggan!A:A,Master_Pelanggan!B:B)</f>
        <v>Ari Rahayu</v>
      </c>
      <c r="E6" s="1" t="str">
        <f t="array" ref="E6">_xlfn.XLOOKUP(C6,Master_Pelanggan!A:A,Master_Pelanggan!D:D)</f>
        <v>Reguler</v>
      </c>
      <c r="F6" s="1" t="s">
        <v>33</v>
      </c>
      <c r="G6" s="1" t="s">
        <v>150</v>
      </c>
      <c r="H6" s="1">
        <v>1444.0</v>
      </c>
      <c r="I6" s="1" t="s">
        <v>55</v>
      </c>
      <c r="J6" s="1">
        <v>82.0</v>
      </c>
      <c r="K6" s="1" t="s">
        <v>18</v>
      </c>
      <c r="M6" s="5"/>
    </row>
    <row r="7">
      <c r="A7" s="1" t="s">
        <v>119</v>
      </c>
      <c r="B7" s="2">
        <v>46030.0</v>
      </c>
      <c r="C7" s="1" t="s">
        <v>120</v>
      </c>
      <c r="D7" s="1" t="str">
        <f t="array" ref="D7">_xlfn.XLOOKUP(C7,Master_Pelanggan!A:A,Master_Pelanggan!B:B)</f>
        <v>Lia Wahyuni</v>
      </c>
      <c r="E7" s="1" t="str">
        <f t="array" ref="E7">_xlfn.XLOOKUP(C7,Master_Pelanggan!A:A,Master_Pelanggan!D:D)</f>
        <v>Reguler</v>
      </c>
      <c r="F7" s="1" t="s">
        <v>15</v>
      </c>
      <c r="G7" s="1" t="s">
        <v>177</v>
      </c>
      <c r="H7" s="1">
        <v>535.0</v>
      </c>
      <c r="I7" s="1" t="s">
        <v>55</v>
      </c>
      <c r="J7" s="1">
        <v>93.0</v>
      </c>
      <c r="K7" s="1" t="s">
        <v>18</v>
      </c>
      <c r="M7" s="15"/>
      <c r="N7" s="12"/>
    </row>
    <row r="8">
      <c r="A8" s="1" t="s">
        <v>115</v>
      </c>
      <c r="B8" s="2">
        <v>46254.0</v>
      </c>
      <c r="C8" s="1" t="s">
        <v>116</v>
      </c>
      <c r="D8" s="1" t="str">
        <f t="array" ref="D8">_xlfn.XLOOKUP(C8,Master_Pelanggan!A:A,Master_Pelanggan!B:B)</f>
        <v>Dwi Hidayat</v>
      </c>
      <c r="E8" s="1" t="str">
        <f t="array" ref="E8">_xlfn.XLOOKUP(C8,Master_Pelanggan!A:A,Master_Pelanggan!D:D)</f>
        <v>Prioritas</v>
      </c>
      <c r="F8" s="1" t="s">
        <v>33</v>
      </c>
      <c r="G8" s="1" t="s">
        <v>150</v>
      </c>
      <c r="H8" s="1">
        <v>1444.0</v>
      </c>
      <c r="I8" s="1" t="s">
        <v>35</v>
      </c>
      <c r="J8" s="1">
        <v>102.0</v>
      </c>
      <c r="K8" s="1" t="s">
        <v>18</v>
      </c>
    </row>
    <row r="9">
      <c r="A9" s="1" t="s">
        <v>194</v>
      </c>
      <c r="B9" s="2">
        <v>46263.0</v>
      </c>
      <c r="C9" s="1" t="s">
        <v>196</v>
      </c>
      <c r="D9" s="1" t="str">
        <f t="array" ref="D9">_xlfn.XLOOKUP(C9,Master_Pelanggan!A:A,Master_Pelanggan!B:B)</f>
        <v>Rina Wijaya</v>
      </c>
      <c r="E9" s="1" t="str">
        <f t="array" ref="E9">_xlfn.XLOOKUP(C9,Master_Pelanggan!A:A,Master_Pelanggan!D:D)</f>
        <v>Reguler</v>
      </c>
      <c r="F9" s="1" t="s">
        <v>51</v>
      </c>
      <c r="G9" s="1" t="s">
        <v>139</v>
      </c>
      <c r="H9" s="1">
        <v>633.0</v>
      </c>
      <c r="I9" s="1" t="s">
        <v>23</v>
      </c>
      <c r="J9" s="1">
        <v>105.0</v>
      </c>
      <c r="K9" s="1" t="s">
        <v>46</v>
      </c>
    </row>
    <row r="10">
      <c r="A10" s="1" t="s">
        <v>91</v>
      </c>
      <c r="B10" s="2">
        <v>46242.0</v>
      </c>
      <c r="C10" s="1" t="s">
        <v>92</v>
      </c>
      <c r="D10" s="1" t="str">
        <f t="array" ref="D10">_xlfn.XLOOKUP(C10,Master_Pelanggan!A:A,Master_Pelanggan!B:B)</f>
        <v>Dwi Santoso</v>
      </c>
      <c r="E10" s="1" t="str">
        <f t="array" ref="E10">_xlfn.XLOOKUP(C10,Master_Pelanggan!A:A,Master_Pelanggan!D:D)</f>
        <v>Prioritas</v>
      </c>
      <c r="F10" s="1" t="s">
        <v>38</v>
      </c>
      <c r="G10" s="1" t="s">
        <v>210</v>
      </c>
      <c r="H10" s="1">
        <v>966.0</v>
      </c>
      <c r="I10" s="1" t="s">
        <v>19</v>
      </c>
      <c r="J10" s="1">
        <v>107.0</v>
      </c>
      <c r="K10" s="1" t="s">
        <v>18</v>
      </c>
    </row>
    <row r="11">
      <c r="A11" s="1" t="s">
        <v>111</v>
      </c>
      <c r="B11" s="2">
        <v>46252.0</v>
      </c>
      <c r="C11" s="1" t="s">
        <v>112</v>
      </c>
      <c r="D11" s="1" t="str">
        <f t="array" ref="D11">_xlfn.XLOOKUP(C11,Master_Pelanggan!A:A,Master_Pelanggan!B:B)</f>
        <v>Dwi Wibowo</v>
      </c>
      <c r="E11" s="1" t="str">
        <f t="array" ref="E11">_xlfn.XLOOKUP(C11,Master_Pelanggan!A:A,Master_Pelanggan!D:D)</f>
        <v>Prioritas</v>
      </c>
      <c r="F11" s="1" t="s">
        <v>51</v>
      </c>
      <c r="G11" s="1" t="s">
        <v>139</v>
      </c>
      <c r="H11" s="1">
        <v>633.0</v>
      </c>
      <c r="I11" s="1" t="s">
        <v>35</v>
      </c>
      <c r="J11" s="1">
        <v>115.0</v>
      </c>
      <c r="K11" s="1" t="s">
        <v>46</v>
      </c>
    </row>
    <row r="12">
      <c r="A12" s="1" t="s">
        <v>63</v>
      </c>
      <c r="B12" s="2">
        <v>46334.0</v>
      </c>
      <c r="C12" s="1" t="s">
        <v>64</v>
      </c>
      <c r="D12" s="1" t="str">
        <f t="array" ref="D12">_xlfn.XLOOKUP(C12,Master_Pelanggan!A:A,Master_Pelanggan!B:B)</f>
        <v>Eko Nugroho</v>
      </c>
      <c r="E12" s="1" t="str">
        <f t="array" ref="E12">_xlfn.XLOOKUP(C12,Master_Pelanggan!A:A,Master_Pelanggan!D:D)</f>
        <v>Reguler</v>
      </c>
      <c r="F12" s="1" t="s">
        <v>38</v>
      </c>
      <c r="G12" s="1" t="s">
        <v>210</v>
      </c>
      <c r="H12" s="1">
        <v>966.0</v>
      </c>
      <c r="I12" s="1" t="s">
        <v>23</v>
      </c>
      <c r="J12" s="1">
        <v>118.0</v>
      </c>
      <c r="K12" s="1" t="s">
        <v>18</v>
      </c>
    </row>
    <row r="13">
      <c r="A13" s="1" t="s">
        <v>221</v>
      </c>
      <c r="B13" s="2">
        <v>46250.0</v>
      </c>
      <c r="C13" s="1" t="s">
        <v>222</v>
      </c>
      <c r="D13" s="1" t="str">
        <f t="array" ref="D13">_xlfn.XLOOKUP(C13,Master_Pelanggan!A:A,Master_Pelanggan!B:B)</f>
        <v>Rudi Nugroho</v>
      </c>
      <c r="E13" s="1" t="str">
        <f t="array" ref="E13">_xlfn.XLOOKUP(C13,Master_Pelanggan!A:A,Master_Pelanggan!D:D)</f>
        <v>Subsidi</v>
      </c>
      <c r="F13" s="1" t="s">
        <v>51</v>
      </c>
      <c r="G13" s="1" t="s">
        <v>139</v>
      </c>
      <c r="H13" s="1">
        <v>633.0</v>
      </c>
      <c r="I13" s="1" t="s">
        <v>55</v>
      </c>
      <c r="J13" s="1">
        <v>119.0</v>
      </c>
      <c r="K13" s="1" t="s">
        <v>18</v>
      </c>
    </row>
    <row r="14">
      <c r="A14" s="1" t="s">
        <v>182</v>
      </c>
      <c r="B14" s="2">
        <v>46181.0</v>
      </c>
      <c r="C14" s="1" t="s">
        <v>183</v>
      </c>
      <c r="D14" s="1" t="str">
        <f t="array" ref="D14">_xlfn.XLOOKUP(C14,Master_Pelanggan!A:A,Master_Pelanggan!B:B)</f>
        <v>Ahmad Nugroho</v>
      </c>
      <c r="E14" s="1" t="str">
        <f t="array" ref="E14">_xlfn.XLOOKUP(C14,Master_Pelanggan!A:A,Master_Pelanggan!D:D)</f>
        <v>Reguler</v>
      </c>
      <c r="F14" s="1" t="s">
        <v>38</v>
      </c>
      <c r="G14" s="1" t="s">
        <v>210</v>
      </c>
      <c r="H14" s="1">
        <v>966.0</v>
      </c>
      <c r="I14" s="1" t="s">
        <v>19</v>
      </c>
      <c r="J14" s="1">
        <v>120.0</v>
      </c>
      <c r="K14" s="1" t="s">
        <v>46</v>
      </c>
    </row>
    <row r="15">
      <c r="A15" s="1" t="s">
        <v>184</v>
      </c>
      <c r="B15" s="2">
        <v>46181.0</v>
      </c>
      <c r="C15" s="1" t="s">
        <v>185</v>
      </c>
      <c r="D15" s="1" t="str">
        <f t="array" ref="D15">_xlfn.XLOOKUP(C15,Master_Pelanggan!A:A,Master_Pelanggan!B:B)</f>
        <v>Andi Kurniawan</v>
      </c>
      <c r="E15" s="1" t="str">
        <f t="array" ref="E15">_xlfn.XLOOKUP(C15,Master_Pelanggan!A:A,Master_Pelanggan!D:D)</f>
        <v>Reguler</v>
      </c>
      <c r="F15" s="1" t="s">
        <v>17</v>
      </c>
      <c r="G15" s="1" t="s">
        <v>159</v>
      </c>
      <c r="H15" s="1">
        <v>1352.0</v>
      </c>
      <c r="I15" s="1" t="s">
        <v>27</v>
      </c>
      <c r="J15" s="1">
        <v>126.0</v>
      </c>
      <c r="K15" s="1" t="s">
        <v>18</v>
      </c>
    </row>
    <row r="16">
      <c r="A16" s="1" t="s">
        <v>70</v>
      </c>
      <c r="B16" s="2">
        <v>46259.0</v>
      </c>
      <c r="C16" s="1" t="s">
        <v>71</v>
      </c>
      <c r="D16" s="1" t="str">
        <f t="array" ref="D16">_xlfn.XLOOKUP(C16,Master_Pelanggan!A:A,Master_Pelanggan!B:B)</f>
        <v>Hendra Gunawan</v>
      </c>
      <c r="E16" s="1" t="str">
        <f t="array" ref="E16">_xlfn.XLOOKUP(C16,Master_Pelanggan!A:A,Master_Pelanggan!D:D)</f>
        <v>Reguler</v>
      </c>
      <c r="F16" s="1" t="s">
        <v>17</v>
      </c>
      <c r="G16" s="1" t="s">
        <v>159</v>
      </c>
      <c r="H16" s="1">
        <v>1352.0</v>
      </c>
      <c r="I16" s="1" t="s">
        <v>23</v>
      </c>
      <c r="J16" s="1">
        <v>127.0</v>
      </c>
      <c r="K16" s="1" t="s">
        <v>18</v>
      </c>
    </row>
    <row r="17">
      <c r="A17" s="1" t="s">
        <v>180</v>
      </c>
      <c r="B17" s="2">
        <v>46120.0</v>
      </c>
      <c r="C17" s="1" t="s">
        <v>181</v>
      </c>
      <c r="D17" s="1" t="str">
        <f t="array" ref="D17">_xlfn.XLOOKUP(C17,Master_Pelanggan!A:A,Master_Pelanggan!B:B)</f>
        <v>Maya Hidayat</v>
      </c>
      <c r="E17" s="1" t="str">
        <f t="array" ref="E17">_xlfn.XLOOKUP(C17,Master_Pelanggan!A:A,Master_Pelanggan!D:D)</f>
        <v>Reguler</v>
      </c>
      <c r="F17" s="1" t="s">
        <v>33</v>
      </c>
      <c r="G17" s="1" t="s">
        <v>150</v>
      </c>
      <c r="H17" s="1">
        <v>1444.0</v>
      </c>
      <c r="I17" s="1" t="s">
        <v>55</v>
      </c>
      <c r="J17" s="1">
        <v>127.0</v>
      </c>
      <c r="K17" s="1" t="s">
        <v>18</v>
      </c>
    </row>
    <row r="18">
      <c r="A18" s="1" t="s">
        <v>85</v>
      </c>
      <c r="B18" s="2">
        <v>46248.0</v>
      </c>
      <c r="C18" s="1" t="s">
        <v>86</v>
      </c>
      <c r="D18" s="1" t="str">
        <f t="array" ref="D18">_xlfn.XLOOKUP(C18,Master_Pelanggan!A:A,Master_Pelanggan!B:B)</f>
        <v>Ahmad Lestari</v>
      </c>
      <c r="E18" s="1" t="str">
        <f t="array" ref="E18">_xlfn.XLOOKUP(C18,Master_Pelanggan!A:A,Master_Pelanggan!D:D)</f>
        <v>Subsidi</v>
      </c>
      <c r="F18" s="1" t="s">
        <v>38</v>
      </c>
      <c r="G18" s="1" t="s">
        <v>210</v>
      </c>
      <c r="H18" s="1">
        <v>966.0</v>
      </c>
      <c r="I18" s="1" t="s">
        <v>27</v>
      </c>
      <c r="J18" s="1">
        <v>132.0</v>
      </c>
      <c r="K18" s="1" t="s">
        <v>46</v>
      </c>
    </row>
    <row r="19">
      <c r="A19" s="1" t="s">
        <v>205</v>
      </c>
      <c r="B19" s="2">
        <v>46120.0</v>
      </c>
      <c r="C19" s="1" t="s">
        <v>45</v>
      </c>
      <c r="D19" s="1" t="str">
        <f t="array" ref="D19">_xlfn.XLOOKUP(C19,Master_Pelanggan!A:A,Master_Pelanggan!B:B)</f>
        <v>Lia Setiawan</v>
      </c>
      <c r="E19" s="1" t="str">
        <f t="array" ref="E19">_xlfn.XLOOKUP(C19,Master_Pelanggan!A:A,Master_Pelanggan!D:D)</f>
        <v>Subsidi</v>
      </c>
      <c r="F19" s="1" t="s">
        <v>33</v>
      </c>
      <c r="G19" s="1" t="s">
        <v>150</v>
      </c>
      <c r="H19" s="1">
        <v>1444.0</v>
      </c>
      <c r="I19" s="1" t="s">
        <v>19</v>
      </c>
      <c r="J19" s="1">
        <v>133.0</v>
      </c>
      <c r="K19" s="1" t="s">
        <v>18</v>
      </c>
    </row>
    <row r="20">
      <c r="A20" s="1" t="s">
        <v>97</v>
      </c>
      <c r="B20" s="2">
        <v>46254.0</v>
      </c>
      <c r="C20" s="1" t="s">
        <v>98</v>
      </c>
      <c r="D20" s="1" t="str">
        <f t="array" ref="D20">_xlfn.XLOOKUP(C20,Master_Pelanggan!A:A,Master_Pelanggan!B:B)</f>
        <v>Ari Setiawan</v>
      </c>
      <c r="E20" s="1" t="str">
        <f t="array" ref="E20">_xlfn.XLOOKUP(C20,Master_Pelanggan!A:A,Master_Pelanggan!D:D)</f>
        <v>Subsidi</v>
      </c>
      <c r="F20" s="1" t="s">
        <v>30</v>
      </c>
      <c r="G20" s="1" t="s">
        <v>266</v>
      </c>
      <c r="H20" s="1">
        <v>415.0</v>
      </c>
      <c r="I20" s="1" t="s">
        <v>23</v>
      </c>
      <c r="J20" s="1">
        <v>151.0</v>
      </c>
      <c r="K20" s="1" t="s">
        <v>18</v>
      </c>
    </row>
    <row r="21">
      <c r="A21" s="1" t="s">
        <v>102</v>
      </c>
      <c r="B21" s="2">
        <v>46257.0</v>
      </c>
      <c r="C21" s="1" t="s">
        <v>105</v>
      </c>
      <c r="D21" s="1" t="str">
        <f t="array" ref="D21">_xlfn.XLOOKUP(C21,Master_Pelanggan!A:A,Master_Pelanggan!B:B)</f>
        <v>Indah Saputra</v>
      </c>
      <c r="E21" s="1" t="str">
        <f t="array" ref="E21">_xlfn.XLOOKUP(C21,Master_Pelanggan!A:A,Master_Pelanggan!D:D)</f>
        <v>Prioritas</v>
      </c>
      <c r="F21" s="1" t="s">
        <v>15</v>
      </c>
      <c r="G21" s="1" t="s">
        <v>177</v>
      </c>
      <c r="H21" s="1">
        <v>535.0</v>
      </c>
      <c r="I21" s="1" t="s">
        <v>19</v>
      </c>
      <c r="J21" s="1">
        <v>151.0</v>
      </c>
      <c r="K21" s="1" t="s">
        <v>18</v>
      </c>
    </row>
    <row r="22">
      <c r="A22" s="1" t="s">
        <v>61</v>
      </c>
      <c r="B22" s="2">
        <v>46248.0</v>
      </c>
      <c r="C22" s="1" t="s">
        <v>62</v>
      </c>
      <c r="D22" s="1" t="str">
        <f t="array" ref="D22">_xlfn.XLOOKUP(C22,Master_Pelanggan!A:A,Master_Pelanggan!B:B)</f>
        <v>Ahmad Lestari</v>
      </c>
      <c r="E22" s="1" t="str">
        <f t="array" ref="E22">_xlfn.XLOOKUP(C22,Master_Pelanggan!A:A,Master_Pelanggan!D:D)</f>
        <v>Reguler</v>
      </c>
      <c r="F22" s="1" t="s">
        <v>33</v>
      </c>
      <c r="G22" s="1" t="s">
        <v>150</v>
      </c>
      <c r="H22" s="1">
        <v>1444.0</v>
      </c>
      <c r="I22" s="1" t="s">
        <v>23</v>
      </c>
      <c r="J22" s="1">
        <v>155.0</v>
      </c>
      <c r="K22" s="1" t="s">
        <v>46</v>
      </c>
    </row>
    <row r="23">
      <c r="A23" s="1" t="s">
        <v>87</v>
      </c>
      <c r="B23" s="2">
        <v>46257.0</v>
      </c>
      <c r="C23" s="1" t="s">
        <v>88</v>
      </c>
      <c r="D23" s="1" t="str">
        <f t="array" ref="D23">_xlfn.XLOOKUP(C23,Master_Pelanggan!A:A,Master_Pelanggan!B:B)</f>
        <v>Eko Syahputra</v>
      </c>
      <c r="E23" s="1" t="str">
        <f t="array" ref="E23">_xlfn.XLOOKUP(C23,Master_Pelanggan!A:A,Master_Pelanggan!D:D)</f>
        <v>Subsidi</v>
      </c>
      <c r="F23" s="1" t="s">
        <v>33</v>
      </c>
      <c r="G23" s="1" t="s">
        <v>150</v>
      </c>
      <c r="H23" s="1">
        <v>1444.0</v>
      </c>
      <c r="I23" s="5" t="s">
        <v>227</v>
      </c>
      <c r="J23" s="1">
        <v>156.0</v>
      </c>
      <c r="K23" s="1" t="s">
        <v>18</v>
      </c>
    </row>
    <row r="24">
      <c r="A24" s="1" t="s">
        <v>160</v>
      </c>
      <c r="B24" s="2">
        <v>46334.0</v>
      </c>
      <c r="C24" s="1" t="s">
        <v>161</v>
      </c>
      <c r="D24" s="1" t="str">
        <f t="array" ref="D24">_xlfn.XLOOKUP(C24,Master_Pelanggan!A:A,Master_Pelanggan!B:B)</f>
        <v>Hadi Suharto</v>
      </c>
      <c r="E24" s="1" t="str">
        <f t="array" ref="E24">_xlfn.XLOOKUP(C24,Master_Pelanggan!A:A,Master_Pelanggan!D:D)</f>
        <v>Prioritas</v>
      </c>
      <c r="F24" s="1" t="s">
        <v>38</v>
      </c>
      <c r="G24" s="1" t="s">
        <v>210</v>
      </c>
      <c r="H24" s="1">
        <v>966.0</v>
      </c>
      <c r="I24" s="1" t="s">
        <v>35</v>
      </c>
      <c r="J24" s="1">
        <v>161.0</v>
      </c>
      <c r="K24" s="1" t="s">
        <v>18</v>
      </c>
    </row>
    <row r="25">
      <c r="A25" s="1" t="s">
        <v>43</v>
      </c>
      <c r="B25" s="2">
        <v>46303.0</v>
      </c>
      <c r="C25" s="5" t="s">
        <v>227</v>
      </c>
      <c r="D25" s="1" t="str">
        <f t="array" ref="D25">_xlfn.XLOOKUP(C25,Master_Pelanggan!A:A,Master_Pelanggan!B:B)</f>
        <v>#N/A</v>
      </c>
      <c r="E25" s="1" t="str">
        <f t="array" ref="E25">_xlfn.XLOOKUP(C25,Master_Pelanggan!A:A,Master_Pelanggan!D:D)</f>
        <v>#N/A</v>
      </c>
      <c r="F25" s="1" t="s">
        <v>15</v>
      </c>
      <c r="G25" s="1" t="s">
        <v>177</v>
      </c>
      <c r="H25" s="1">
        <v>535.0</v>
      </c>
      <c r="I25" s="1" t="s">
        <v>27</v>
      </c>
      <c r="J25" s="1">
        <v>162.0</v>
      </c>
      <c r="K25" s="1" t="s">
        <v>18</v>
      </c>
    </row>
    <row r="26">
      <c r="A26" s="1" t="s">
        <v>47</v>
      </c>
      <c r="B26" s="2">
        <v>46089.0</v>
      </c>
      <c r="C26" s="1" t="s">
        <v>49</v>
      </c>
      <c r="D26" s="1" t="str">
        <f t="array" ref="D26">_xlfn.XLOOKUP(C26,Master_Pelanggan!A:A,Master_Pelanggan!B:B)</f>
        <v>Tri Suharto</v>
      </c>
      <c r="E26" s="1" t="str">
        <f t="array" ref="E26">_xlfn.XLOOKUP(C26,Master_Pelanggan!A:A,Master_Pelanggan!D:D)</f>
        <v>Reguler</v>
      </c>
      <c r="F26" s="1" t="s">
        <v>15</v>
      </c>
      <c r="G26" s="1" t="s">
        <v>177</v>
      </c>
      <c r="H26" s="1">
        <v>535.0</v>
      </c>
      <c r="I26" s="1" t="s">
        <v>19</v>
      </c>
      <c r="J26" s="1">
        <v>162.0</v>
      </c>
      <c r="K26" s="1" t="s">
        <v>18</v>
      </c>
    </row>
    <row r="27">
      <c r="A27" s="1" t="s">
        <v>52</v>
      </c>
      <c r="B27" s="2">
        <v>46256.0</v>
      </c>
      <c r="C27" s="1" t="s">
        <v>54</v>
      </c>
      <c r="D27" s="1" t="str">
        <f t="array" ref="D27">_xlfn.XLOOKUP(C27,Master_Pelanggan!A:A,Master_Pelanggan!B:B)</f>
        <v>Nur Wahyuni</v>
      </c>
      <c r="E27" s="1" t="str">
        <f t="array" ref="E27">_xlfn.XLOOKUP(C27,Master_Pelanggan!A:A,Master_Pelanggan!D:D)</f>
        <v>Reguler</v>
      </c>
      <c r="F27" s="1" t="s">
        <v>30</v>
      </c>
      <c r="G27" s="1" t="s">
        <v>266</v>
      </c>
      <c r="H27" s="1">
        <v>415.0</v>
      </c>
      <c r="I27" s="1" t="s">
        <v>55</v>
      </c>
      <c r="J27" s="1">
        <v>162.0</v>
      </c>
      <c r="K27" s="1" t="s">
        <v>18</v>
      </c>
    </row>
    <row r="28">
      <c r="A28" s="1" t="s">
        <v>130</v>
      </c>
      <c r="B28" s="2">
        <v>46263.0</v>
      </c>
      <c r="C28" s="1" t="s">
        <v>131</v>
      </c>
      <c r="D28" s="1" t="str">
        <f t="array" ref="D28">_xlfn.XLOOKUP(C28,Master_Pelanggan!A:A,Master_Pelanggan!B:B)</f>
        <v>Yuni Sari</v>
      </c>
      <c r="E28" s="1" t="str">
        <f t="array" ref="E28">_xlfn.XLOOKUP(C28,Master_Pelanggan!A:A,Master_Pelanggan!D:D)</f>
        <v>Prioritas</v>
      </c>
      <c r="F28" s="1" t="s">
        <v>33</v>
      </c>
      <c r="G28" s="1" t="s">
        <v>150</v>
      </c>
      <c r="H28" s="1">
        <v>1444.0</v>
      </c>
      <c r="I28" s="1" t="s">
        <v>19</v>
      </c>
      <c r="J28" s="1">
        <v>163.0</v>
      </c>
      <c r="K28" s="1" t="s">
        <v>18</v>
      </c>
    </row>
    <row r="29">
      <c r="A29" s="1" t="s">
        <v>218</v>
      </c>
      <c r="B29" s="2">
        <v>46242.0</v>
      </c>
      <c r="C29" s="1" t="s">
        <v>181</v>
      </c>
      <c r="D29" s="1" t="str">
        <f t="array" ref="D29">_xlfn.XLOOKUP(C29,Master_Pelanggan!A:A,Master_Pelanggan!B:B)</f>
        <v>Maya Hidayat</v>
      </c>
      <c r="E29" s="1" t="str">
        <f t="array" ref="E29">_xlfn.XLOOKUP(C29,Master_Pelanggan!A:A,Master_Pelanggan!D:D)</f>
        <v>Reguler</v>
      </c>
      <c r="F29" s="1" t="s">
        <v>17</v>
      </c>
      <c r="G29" s="1" t="s">
        <v>159</v>
      </c>
      <c r="H29" s="1">
        <v>1352.0</v>
      </c>
      <c r="I29" s="5" t="s">
        <v>27</v>
      </c>
      <c r="J29" s="1">
        <v>163.0</v>
      </c>
      <c r="K29" s="1" t="s">
        <v>18</v>
      </c>
    </row>
    <row r="30">
      <c r="A30" s="1" t="s">
        <v>242</v>
      </c>
      <c r="B30" s="2">
        <v>46247.0</v>
      </c>
      <c r="C30" s="1" t="s">
        <v>243</v>
      </c>
      <c r="D30" s="1" t="str">
        <f t="array" ref="D30">_xlfn.XLOOKUP(C30,Master_Pelanggan!A:A,Master_Pelanggan!B:B)</f>
        <v>Rudi Hidayat</v>
      </c>
      <c r="E30" s="1" t="str">
        <f t="array" ref="E30">_xlfn.XLOOKUP(C30,Master_Pelanggan!A:A,Master_Pelanggan!D:D)</f>
        <v>Reguler</v>
      </c>
      <c r="F30" s="1" t="s">
        <v>15</v>
      </c>
      <c r="G30" s="1" t="s">
        <v>177</v>
      </c>
      <c r="H30" s="1">
        <v>535.0</v>
      </c>
      <c r="I30" s="1" t="s">
        <v>35</v>
      </c>
      <c r="J30" s="1">
        <v>163.0</v>
      </c>
      <c r="K30" s="1" t="s">
        <v>18</v>
      </c>
    </row>
    <row r="31">
      <c r="A31" s="1" t="s">
        <v>193</v>
      </c>
      <c r="B31" s="2">
        <v>46030.0</v>
      </c>
      <c r="C31" s="1" t="s">
        <v>195</v>
      </c>
      <c r="D31" s="1" t="str">
        <f t="array" ref="D31">_xlfn.XLOOKUP(C31,Master_Pelanggan!A:A,Master_Pelanggan!B:B)</f>
        <v>Lia Pratama</v>
      </c>
      <c r="E31" s="1" t="str">
        <f t="array" ref="E31">_xlfn.XLOOKUP(C31,Master_Pelanggan!A:A,Master_Pelanggan!D:D)</f>
        <v>Reguler</v>
      </c>
      <c r="F31" s="1" t="s">
        <v>38</v>
      </c>
      <c r="G31" s="1" t="s">
        <v>210</v>
      </c>
      <c r="H31" s="1">
        <v>966.0</v>
      </c>
      <c r="I31" s="1" t="s">
        <v>35</v>
      </c>
      <c r="J31" s="1">
        <v>166.0</v>
      </c>
      <c r="K31" s="1" t="s">
        <v>18</v>
      </c>
    </row>
    <row r="32">
      <c r="A32" s="1" t="s">
        <v>144</v>
      </c>
      <c r="B32" s="2">
        <v>46211.0</v>
      </c>
      <c r="C32" s="1" t="s">
        <v>145</v>
      </c>
      <c r="D32" s="1" t="str">
        <f t="array" ref="D32">_xlfn.XLOOKUP(C32,Master_Pelanggan!A:A,Master_Pelanggan!B:B)</f>
        <v>Andi Wahyuni</v>
      </c>
      <c r="E32" s="1" t="str">
        <f t="array" ref="E32">_xlfn.XLOOKUP(C32,Master_Pelanggan!A:A,Master_Pelanggan!D:D)</f>
        <v>Prioritas</v>
      </c>
      <c r="F32" s="1" t="s">
        <v>38</v>
      </c>
      <c r="G32" s="1" t="s">
        <v>210</v>
      </c>
      <c r="H32" s="1">
        <v>966.0</v>
      </c>
      <c r="I32" s="1" t="s">
        <v>55</v>
      </c>
      <c r="J32" s="1">
        <v>170.0</v>
      </c>
      <c r="K32" s="1" t="s">
        <v>18</v>
      </c>
    </row>
    <row r="33">
      <c r="A33" s="1" t="s">
        <v>142</v>
      </c>
      <c r="B33" s="2">
        <v>46249.0</v>
      </c>
      <c r="C33" s="1" t="s">
        <v>143</v>
      </c>
      <c r="D33" s="1" t="str">
        <f t="array" ref="D33">_xlfn.XLOOKUP(C33,Master_Pelanggan!A:A,Master_Pelanggan!B:B)</f>
        <v>Rudi Wibowo</v>
      </c>
      <c r="E33" s="1" t="str">
        <f t="array" ref="E33">_xlfn.XLOOKUP(C33,Master_Pelanggan!A:A,Master_Pelanggan!D:D)</f>
        <v>Subsidi</v>
      </c>
      <c r="F33" s="1" t="s">
        <v>33</v>
      </c>
      <c r="G33" s="1" t="s">
        <v>150</v>
      </c>
      <c r="H33" s="1">
        <v>1444.0</v>
      </c>
      <c r="I33" s="1" t="s">
        <v>55</v>
      </c>
      <c r="J33" s="1">
        <v>173.0</v>
      </c>
      <c r="K33" s="1" t="s">
        <v>18</v>
      </c>
    </row>
    <row r="34">
      <c r="A34" s="1" t="s">
        <v>128</v>
      </c>
      <c r="B34" s="2">
        <v>46256.0</v>
      </c>
      <c r="C34" s="1" t="s">
        <v>129</v>
      </c>
      <c r="D34" s="1" t="str">
        <f t="array" ref="D34">_xlfn.XLOOKUP(C34,Master_Pelanggan!A:A,Master_Pelanggan!B:B)</f>
        <v>Putri Kurniawan</v>
      </c>
      <c r="E34" s="1" t="str">
        <f t="array" ref="E34">_xlfn.XLOOKUP(C34,Master_Pelanggan!A:A,Master_Pelanggan!D:D)</f>
        <v>Reguler</v>
      </c>
      <c r="F34" s="1" t="s">
        <v>15</v>
      </c>
      <c r="G34" s="1" t="s">
        <v>177</v>
      </c>
      <c r="H34" s="1">
        <v>535.0</v>
      </c>
      <c r="I34" s="1" t="s">
        <v>55</v>
      </c>
      <c r="J34" s="1">
        <v>175.0</v>
      </c>
      <c r="K34" s="1" t="s">
        <v>18</v>
      </c>
    </row>
    <row r="35">
      <c r="A35" s="1" t="s">
        <v>99</v>
      </c>
      <c r="B35" s="2">
        <v>46262.0</v>
      </c>
      <c r="C35" s="1" t="s">
        <v>100</v>
      </c>
      <c r="D35" s="1" t="str">
        <f t="array" ref="D35">_xlfn.XLOOKUP(C35,Master_Pelanggan!A:A,Master_Pelanggan!B:B)</f>
        <v>Hendra Pratama</v>
      </c>
      <c r="E35" s="1" t="str">
        <f t="array" ref="E35">_xlfn.XLOOKUP(C35,Master_Pelanggan!A:A,Master_Pelanggan!D:D)</f>
        <v>Subsidi</v>
      </c>
      <c r="F35" s="1" t="s">
        <v>38</v>
      </c>
      <c r="G35" s="1" t="s">
        <v>210</v>
      </c>
      <c r="H35" s="1">
        <v>966.0</v>
      </c>
      <c r="I35" s="1" t="s">
        <v>55</v>
      </c>
      <c r="J35" s="1">
        <v>176.0</v>
      </c>
      <c r="K35" s="1" t="s">
        <v>46</v>
      </c>
    </row>
    <row r="36">
      <c r="A36" s="1" t="s">
        <v>225</v>
      </c>
      <c r="B36" s="2">
        <v>46261.0</v>
      </c>
      <c r="C36" s="1" t="s">
        <v>64</v>
      </c>
      <c r="D36" s="1" t="str">
        <f t="array" ref="D36">_xlfn.XLOOKUP(C36,Master_Pelanggan!A:A,Master_Pelanggan!B:B)</f>
        <v>Eko Nugroho</v>
      </c>
      <c r="E36" s="1" t="str">
        <f t="array" ref="E36">_xlfn.XLOOKUP(C36,Master_Pelanggan!A:A,Master_Pelanggan!D:D)</f>
        <v>Reguler</v>
      </c>
      <c r="F36" s="1" t="s">
        <v>38</v>
      </c>
      <c r="G36" s="1" t="s">
        <v>210</v>
      </c>
      <c r="H36" s="1">
        <v>966.0</v>
      </c>
      <c r="I36" s="1" t="s">
        <v>55</v>
      </c>
      <c r="J36" s="1">
        <v>176.0</v>
      </c>
      <c r="K36" s="1" t="s">
        <v>46</v>
      </c>
    </row>
    <row r="37">
      <c r="A37" s="1" t="s">
        <v>238</v>
      </c>
      <c r="B37" s="2">
        <v>46242.0</v>
      </c>
      <c r="C37" s="1" t="s">
        <v>239</v>
      </c>
      <c r="D37" s="1" t="str">
        <f t="array" ref="D37">_xlfn.XLOOKUP(C37,Master_Pelanggan!A:A,Master_Pelanggan!B:B)</f>
        <v>Ratna Syahputra</v>
      </c>
      <c r="E37" s="1" t="str">
        <f t="array" ref="E37">_xlfn.XLOOKUP(C37,Master_Pelanggan!A:A,Master_Pelanggan!D:D)</f>
        <v>Reguler</v>
      </c>
      <c r="F37" s="1" t="s">
        <v>33</v>
      </c>
      <c r="G37" s="1" t="s">
        <v>150</v>
      </c>
      <c r="H37" s="1">
        <v>1444.0</v>
      </c>
      <c r="I37" s="1" t="s">
        <v>55</v>
      </c>
      <c r="J37" s="1">
        <v>178.0</v>
      </c>
      <c r="K37" s="1" t="s">
        <v>18</v>
      </c>
    </row>
    <row r="38">
      <c r="A38" s="1" t="s">
        <v>233</v>
      </c>
      <c r="B38" s="2">
        <v>46250.0</v>
      </c>
      <c r="C38" s="5" t="s">
        <v>227</v>
      </c>
      <c r="D38" s="1" t="str">
        <f t="array" ref="D38">_xlfn.XLOOKUP(C38,Master_Pelanggan!A:A,Master_Pelanggan!B:B)</f>
        <v>#N/A</v>
      </c>
      <c r="E38" s="1" t="str">
        <f t="array" ref="E38">_xlfn.XLOOKUP(C38,Master_Pelanggan!A:A,Master_Pelanggan!D:D)</f>
        <v>#N/A</v>
      </c>
      <c r="F38" s="1" t="s">
        <v>30</v>
      </c>
      <c r="G38" s="1" t="s">
        <v>266</v>
      </c>
      <c r="H38" s="1">
        <v>415.0</v>
      </c>
      <c r="I38" s="1" t="s">
        <v>27</v>
      </c>
      <c r="J38" s="1">
        <v>179.0</v>
      </c>
      <c r="K38" s="1" t="s">
        <v>18</v>
      </c>
    </row>
    <row r="39">
      <c r="A39" s="1" t="s">
        <v>262</v>
      </c>
      <c r="B39" s="2">
        <v>46030.0</v>
      </c>
      <c r="C39" s="5" t="s">
        <v>227</v>
      </c>
      <c r="D39" s="1" t="str">
        <f t="array" ref="D39">_xlfn.XLOOKUP(C39,Master_Pelanggan!A:A,Master_Pelanggan!B:B)</f>
        <v>#N/A</v>
      </c>
      <c r="E39" s="1" t="str">
        <f t="array" ref="E39">_xlfn.XLOOKUP(C39,Master_Pelanggan!A:A,Master_Pelanggan!D:D)</f>
        <v>#N/A</v>
      </c>
      <c r="F39" s="1" t="s">
        <v>33</v>
      </c>
      <c r="G39" s="1" t="s">
        <v>150</v>
      </c>
      <c r="H39" s="1">
        <v>1444.0</v>
      </c>
      <c r="I39" s="1" t="s">
        <v>27</v>
      </c>
      <c r="J39" s="1">
        <v>179.0</v>
      </c>
      <c r="K39" s="1" t="s">
        <v>18</v>
      </c>
    </row>
    <row r="40">
      <c r="A40" s="1" t="s">
        <v>32</v>
      </c>
      <c r="B40" s="2">
        <v>46273.0</v>
      </c>
      <c r="C40" s="1" t="s">
        <v>34</v>
      </c>
      <c r="D40" s="1" t="str">
        <f t="array" ref="D40">_xlfn.XLOOKUP(C40,Master_Pelanggan!A:A,Master_Pelanggan!B:B)</f>
        <v>Ayu Astuti</v>
      </c>
      <c r="E40" s="1" t="str">
        <f t="array" ref="E40">_xlfn.XLOOKUP(C40,Master_Pelanggan!A:A,Master_Pelanggan!D:D)</f>
        <v>Reguler</v>
      </c>
      <c r="F40" s="1" t="s">
        <v>30</v>
      </c>
      <c r="G40" s="1" t="s">
        <v>266</v>
      </c>
      <c r="H40" s="1">
        <v>415.0</v>
      </c>
      <c r="I40" s="1" t="s">
        <v>35</v>
      </c>
      <c r="J40" s="1">
        <v>181.0</v>
      </c>
      <c r="K40" s="1" t="s">
        <v>18</v>
      </c>
    </row>
    <row r="41">
      <c r="A41" s="1" t="s">
        <v>36</v>
      </c>
      <c r="B41" s="2">
        <v>46242.0</v>
      </c>
      <c r="C41" s="1" t="s">
        <v>37</v>
      </c>
      <c r="D41" s="1" t="str">
        <f t="array" ref="D41">_xlfn.XLOOKUP(C41,Master_Pelanggan!A:A,Master_Pelanggan!B:B)</f>
        <v>Muhammad Kurniawan</v>
      </c>
      <c r="E41" s="1" t="str">
        <f t="array" ref="E41">_xlfn.XLOOKUP(C41,Master_Pelanggan!A:A,Master_Pelanggan!D:D)</f>
        <v>Reguler</v>
      </c>
      <c r="F41" s="1" t="s">
        <v>38</v>
      </c>
      <c r="G41" s="1" t="s">
        <v>210</v>
      </c>
      <c r="H41" s="1">
        <v>966.0</v>
      </c>
      <c r="I41" s="1" t="s">
        <v>23</v>
      </c>
      <c r="J41" s="1">
        <v>181.0</v>
      </c>
      <c r="K41" s="1" t="s">
        <v>18</v>
      </c>
    </row>
    <row r="42">
      <c r="A42" s="1" t="s">
        <v>79</v>
      </c>
      <c r="B42" s="2">
        <v>46248.0</v>
      </c>
      <c r="C42" s="1" t="s">
        <v>80</v>
      </c>
      <c r="D42" s="1" t="str">
        <f t="array" ref="D42">_xlfn.XLOOKUP(C42,Master_Pelanggan!A:A,Master_Pelanggan!B:B)</f>
        <v>Rizky Gunawan</v>
      </c>
      <c r="E42" s="1" t="str">
        <f t="array" ref="E42">_xlfn.XLOOKUP(C42,Master_Pelanggan!A:A,Master_Pelanggan!D:D)</f>
        <v>Reguler</v>
      </c>
      <c r="F42" s="1" t="s">
        <v>17</v>
      </c>
      <c r="G42" s="1" t="s">
        <v>159</v>
      </c>
      <c r="H42" s="1">
        <v>1352.0</v>
      </c>
      <c r="I42" s="1" t="s">
        <v>19</v>
      </c>
      <c r="J42" s="1">
        <v>181.0</v>
      </c>
      <c r="K42" s="1" t="s">
        <v>18</v>
      </c>
    </row>
    <row r="43">
      <c r="A43" s="1" t="s">
        <v>171</v>
      </c>
      <c r="B43" s="2">
        <v>46259.0</v>
      </c>
      <c r="C43" s="1" t="s">
        <v>172</v>
      </c>
      <c r="D43" s="1" t="str">
        <f t="array" ref="D43">_xlfn.XLOOKUP(C43,Master_Pelanggan!A:A,Master_Pelanggan!B:B)</f>
        <v>Hendra Sinaga</v>
      </c>
      <c r="E43" s="1" t="str">
        <f t="array" ref="E43">_xlfn.XLOOKUP(C43,Master_Pelanggan!A:A,Master_Pelanggan!D:D)</f>
        <v>Reguler</v>
      </c>
      <c r="F43" s="1" t="s">
        <v>30</v>
      </c>
      <c r="G43" s="1" t="s">
        <v>266</v>
      </c>
      <c r="H43" s="1">
        <v>415.0</v>
      </c>
      <c r="I43" s="1" t="s">
        <v>23</v>
      </c>
      <c r="J43" s="1">
        <v>183.0</v>
      </c>
      <c r="K43" s="1" t="s">
        <v>18</v>
      </c>
    </row>
    <row r="44">
      <c r="A44" s="1" t="s">
        <v>199</v>
      </c>
      <c r="B44" s="2">
        <v>46181.0</v>
      </c>
      <c r="C44" s="1" t="s">
        <v>200</v>
      </c>
      <c r="D44" s="1" t="str">
        <f t="array" ref="D44">_xlfn.XLOOKUP(C44,Master_Pelanggan!A:A,Master_Pelanggan!B:B)</f>
        <v>Indah Wahyuni</v>
      </c>
      <c r="E44" s="1" t="str">
        <f t="array" ref="E44">_xlfn.XLOOKUP(C44,Master_Pelanggan!A:A,Master_Pelanggan!D:D)</f>
        <v>Prioritas</v>
      </c>
      <c r="F44" s="1" t="s">
        <v>30</v>
      </c>
      <c r="G44" s="1" t="s">
        <v>266</v>
      </c>
      <c r="H44" s="1">
        <v>415.0</v>
      </c>
      <c r="I44" s="1" t="s">
        <v>23</v>
      </c>
      <c r="J44" s="1">
        <v>186.0</v>
      </c>
      <c r="K44" s="1" t="s">
        <v>18</v>
      </c>
    </row>
    <row r="45">
      <c r="A45" s="1" t="s">
        <v>191</v>
      </c>
      <c r="B45" s="2">
        <v>46251.0</v>
      </c>
      <c r="C45" s="1" t="s">
        <v>192</v>
      </c>
      <c r="D45" s="1" t="str">
        <f t="array" ref="D45">_xlfn.XLOOKUP(C45,Master_Pelanggan!A:A,Master_Pelanggan!B:B)</f>
        <v>Rizky Pratama</v>
      </c>
      <c r="E45" s="1" t="str">
        <f t="array" ref="E45">_xlfn.XLOOKUP(C45,Master_Pelanggan!A:A,Master_Pelanggan!D:D)</f>
        <v>Reguler</v>
      </c>
      <c r="F45" s="1" t="s">
        <v>30</v>
      </c>
      <c r="G45" s="1" t="s">
        <v>266</v>
      </c>
      <c r="H45" s="1">
        <v>415.0</v>
      </c>
      <c r="I45" s="1" t="s">
        <v>23</v>
      </c>
      <c r="J45" s="1">
        <v>187.0</v>
      </c>
      <c r="K45" s="1" t="s">
        <v>18</v>
      </c>
    </row>
    <row r="46">
      <c r="A46" s="1" t="s">
        <v>20</v>
      </c>
      <c r="B46" s="2">
        <v>46120.0</v>
      </c>
      <c r="C46" s="1" t="s">
        <v>22</v>
      </c>
      <c r="D46" s="1" t="str">
        <f t="array" ref="D46">_xlfn.XLOOKUP(C46,Master_Pelanggan!A:A,Master_Pelanggan!B:B)</f>
        <v>Agus Setiawan</v>
      </c>
      <c r="E46" s="1" t="str">
        <f t="array" ref="E46">_xlfn.XLOOKUP(C46,Master_Pelanggan!A:A,Master_Pelanggan!D:D)</f>
        <v>Subsidi</v>
      </c>
      <c r="F46" s="1" t="s">
        <v>15</v>
      </c>
      <c r="G46" s="1" t="s">
        <v>177</v>
      </c>
      <c r="H46" s="1">
        <v>535.0</v>
      </c>
      <c r="I46" s="1" t="s">
        <v>23</v>
      </c>
      <c r="J46" s="1">
        <v>188.0</v>
      </c>
      <c r="K46" s="1" t="s">
        <v>18</v>
      </c>
    </row>
    <row r="47">
      <c r="A47" s="1" t="s">
        <v>127</v>
      </c>
      <c r="B47" s="2">
        <v>46248.0</v>
      </c>
      <c r="C47" s="5" t="s">
        <v>227</v>
      </c>
      <c r="D47" s="1" t="str">
        <f t="array" ref="D47">_xlfn.XLOOKUP(C47,Master_Pelanggan!A:A,Master_Pelanggan!B:B)</f>
        <v>#N/A</v>
      </c>
      <c r="E47" s="1" t="str">
        <f t="array" ref="E47">_xlfn.XLOOKUP(C47,Master_Pelanggan!A:A,Master_Pelanggan!D:D)</f>
        <v>#N/A</v>
      </c>
      <c r="F47" s="1" t="s">
        <v>17</v>
      </c>
      <c r="G47" s="1" t="s">
        <v>159</v>
      </c>
      <c r="H47" s="1">
        <v>1352.0</v>
      </c>
      <c r="I47" s="1" t="s">
        <v>35</v>
      </c>
      <c r="J47" s="1">
        <v>190.0</v>
      </c>
      <c r="K47" s="1" t="s">
        <v>18</v>
      </c>
    </row>
    <row r="48">
      <c r="A48" s="1" t="s">
        <v>244</v>
      </c>
      <c r="B48" s="2">
        <v>46260.0</v>
      </c>
      <c r="C48" s="1" t="s">
        <v>246</v>
      </c>
      <c r="D48" s="1" t="str">
        <f t="array" ref="D48">_xlfn.XLOOKUP(C48,Master_Pelanggan!A:A,Master_Pelanggan!B:B)</f>
        <v>Andi Rahayu</v>
      </c>
      <c r="E48" s="1" t="str">
        <f t="array" ref="E48">_xlfn.XLOOKUP(C48,Master_Pelanggan!A:A,Master_Pelanggan!D:D)</f>
        <v>Reguler</v>
      </c>
      <c r="F48" s="1" t="s">
        <v>17</v>
      </c>
      <c r="G48" s="1" t="s">
        <v>159</v>
      </c>
      <c r="H48" s="1">
        <v>1352.0</v>
      </c>
      <c r="I48" s="1" t="s">
        <v>35</v>
      </c>
      <c r="J48" s="1">
        <v>192.0</v>
      </c>
      <c r="K48" s="1" t="s">
        <v>18</v>
      </c>
    </row>
    <row r="49">
      <c r="A49" s="1" t="s">
        <v>260</v>
      </c>
      <c r="B49" s="2">
        <v>46061.0</v>
      </c>
      <c r="C49" s="1" t="s">
        <v>261</v>
      </c>
      <c r="D49" s="1" t="str">
        <f t="array" ref="D49">_xlfn.XLOOKUP(C49,Master_Pelanggan!A:A,Master_Pelanggan!B:B)</f>
        <v>Lia Wahyuni</v>
      </c>
      <c r="E49" s="1" t="str">
        <f t="array" ref="E49">_xlfn.XLOOKUP(C49,Master_Pelanggan!A:A,Master_Pelanggan!D:D)</f>
        <v>Reguler</v>
      </c>
      <c r="F49" s="1" t="s">
        <v>30</v>
      </c>
      <c r="G49" s="1" t="s">
        <v>266</v>
      </c>
      <c r="H49" s="1">
        <v>415.0</v>
      </c>
      <c r="I49" s="1" t="s">
        <v>23</v>
      </c>
      <c r="J49" s="1">
        <v>197.0</v>
      </c>
      <c r="K49" s="1" t="s">
        <v>18</v>
      </c>
    </row>
    <row r="50">
      <c r="A50" s="1" t="s">
        <v>107</v>
      </c>
      <c r="B50" s="2">
        <v>46260.0</v>
      </c>
      <c r="C50" s="1" t="s">
        <v>109</v>
      </c>
      <c r="D50" s="1" t="str">
        <f t="array" ref="D50">_xlfn.XLOOKUP(C50,Master_Pelanggan!A:A,Master_Pelanggan!B:B)</f>
        <v>Rizky Gunawan</v>
      </c>
      <c r="E50" s="1" t="str">
        <f t="array" ref="E50">_xlfn.XLOOKUP(C50,Master_Pelanggan!A:A,Master_Pelanggan!D:D)</f>
        <v>Prioritas</v>
      </c>
      <c r="F50" s="1" t="s">
        <v>15</v>
      </c>
      <c r="G50" s="1" t="s">
        <v>177</v>
      </c>
      <c r="H50" s="1">
        <v>535.0</v>
      </c>
      <c r="I50" s="1" t="s">
        <v>55</v>
      </c>
      <c r="J50" s="1">
        <v>198.0</v>
      </c>
      <c r="K50" s="1" t="s">
        <v>18</v>
      </c>
    </row>
    <row r="51">
      <c r="A51" s="1" t="s">
        <v>248</v>
      </c>
      <c r="B51" s="2">
        <v>46273.0</v>
      </c>
      <c r="C51" s="1" t="s">
        <v>250</v>
      </c>
      <c r="D51" s="1" t="str">
        <f t="array" ref="D51">_xlfn.XLOOKUP(C51,Master_Pelanggan!A:A,Master_Pelanggan!B:B)</f>
        <v>Nur Rahayu</v>
      </c>
      <c r="E51" s="1" t="str">
        <f t="array" ref="E51">_xlfn.XLOOKUP(C51,Master_Pelanggan!A:A,Master_Pelanggan!D:D)</f>
        <v>Reguler</v>
      </c>
      <c r="F51" s="1" t="s">
        <v>38</v>
      </c>
      <c r="G51" s="1" t="s">
        <v>210</v>
      </c>
      <c r="H51" s="1">
        <v>966.0</v>
      </c>
      <c r="I51" s="1" t="s">
        <v>35</v>
      </c>
      <c r="J51" s="1">
        <v>200.0</v>
      </c>
      <c r="K51" s="1" t="s">
        <v>18</v>
      </c>
    </row>
    <row r="52">
      <c r="A52" s="1" t="s">
        <v>83</v>
      </c>
      <c r="B52" s="2">
        <v>46211.0</v>
      </c>
      <c r="C52" s="1" t="s">
        <v>84</v>
      </c>
      <c r="D52" s="1" t="str">
        <f t="array" ref="D52">_xlfn.XLOOKUP(C52,Master_Pelanggan!A:A,Master_Pelanggan!B:B)</f>
        <v>Ari Siregar</v>
      </c>
      <c r="E52" s="1" t="str">
        <f t="array" ref="E52">_xlfn.XLOOKUP(C52,Master_Pelanggan!A:A,Master_Pelanggan!D:D)</f>
        <v>Reguler</v>
      </c>
      <c r="F52" s="1" t="s">
        <v>30</v>
      </c>
      <c r="G52" s="1" t="s">
        <v>266</v>
      </c>
      <c r="H52" s="1">
        <v>415.0</v>
      </c>
      <c r="I52" s="1" t="s">
        <v>55</v>
      </c>
      <c r="J52" s="1">
        <v>205.0</v>
      </c>
      <c r="K52" s="1" t="s">
        <v>18</v>
      </c>
    </row>
    <row r="53">
      <c r="A53" s="1" t="s">
        <v>89</v>
      </c>
      <c r="B53" s="2">
        <v>46334.0</v>
      </c>
      <c r="C53" s="1" t="s">
        <v>90</v>
      </c>
      <c r="D53" s="1" t="str">
        <f t="array" ref="D53">_xlfn.XLOOKUP(C53,Master_Pelanggan!A:A,Master_Pelanggan!B:B)</f>
        <v>Lia Saputra</v>
      </c>
      <c r="E53" s="1" t="str">
        <f t="array" ref="E53">_xlfn.XLOOKUP(C53,Master_Pelanggan!A:A,Master_Pelanggan!D:D)</f>
        <v>Subsidi</v>
      </c>
      <c r="F53" s="1" t="s">
        <v>38</v>
      </c>
      <c r="G53" s="1" t="s">
        <v>210</v>
      </c>
      <c r="H53" s="1">
        <v>966.0</v>
      </c>
      <c r="I53" s="1" t="s">
        <v>23</v>
      </c>
      <c r="J53" s="1">
        <v>208.0</v>
      </c>
      <c r="K53" s="1" t="s">
        <v>18</v>
      </c>
    </row>
    <row r="54">
      <c r="A54" s="1" t="s">
        <v>125</v>
      </c>
      <c r="B54" s="2">
        <v>46256.0</v>
      </c>
      <c r="C54" s="1" t="s">
        <v>126</v>
      </c>
      <c r="D54" s="1" t="str">
        <f t="array" ref="D54">_xlfn.XLOOKUP(C54,Master_Pelanggan!A:A,Master_Pelanggan!B:B)</f>
        <v>Lia Pratama</v>
      </c>
      <c r="E54" s="1" t="str">
        <f t="array" ref="E54">_xlfn.XLOOKUP(C54,Master_Pelanggan!A:A,Master_Pelanggan!D:D)</f>
        <v>Reguler</v>
      </c>
      <c r="F54" s="1" t="s">
        <v>30</v>
      </c>
      <c r="G54" s="1" t="s">
        <v>266</v>
      </c>
      <c r="H54" s="1">
        <v>415.0</v>
      </c>
      <c r="I54" s="1" t="s">
        <v>27</v>
      </c>
      <c r="J54" s="1">
        <v>213.0</v>
      </c>
      <c r="K54" s="1" t="s">
        <v>18</v>
      </c>
    </row>
    <row r="55">
      <c r="A55" s="1" t="s">
        <v>203</v>
      </c>
      <c r="B55" s="2">
        <v>46260.0</v>
      </c>
      <c r="C55" s="1" t="s">
        <v>204</v>
      </c>
      <c r="D55" s="1" t="str">
        <f t="array" ref="D55">_xlfn.XLOOKUP(C55,Master_Pelanggan!A:A,Master_Pelanggan!B:B)</f>
        <v>Putri Setiawan</v>
      </c>
      <c r="E55" s="1" t="str">
        <f t="array" ref="E55">_xlfn.XLOOKUP(C55,Master_Pelanggan!A:A,Master_Pelanggan!D:D)</f>
        <v>Prioritas</v>
      </c>
      <c r="F55" s="1" t="s">
        <v>15</v>
      </c>
      <c r="G55" s="1" t="s">
        <v>177</v>
      </c>
      <c r="H55" s="1">
        <v>535.0</v>
      </c>
      <c r="I55" s="1" t="s">
        <v>35</v>
      </c>
      <c r="J55" s="1">
        <v>213.0</v>
      </c>
      <c r="K55" s="1" t="s">
        <v>18</v>
      </c>
    </row>
    <row r="56">
      <c r="A56" s="1" t="s">
        <v>168</v>
      </c>
      <c r="B56" s="2">
        <v>46211.0</v>
      </c>
      <c r="C56" s="1" t="s">
        <v>169</v>
      </c>
      <c r="D56" s="1" t="str">
        <f t="array" ref="D56">_xlfn.XLOOKUP(C56,Master_Pelanggan!A:A,Master_Pelanggan!B:B)</f>
        <v>Rudi Suharto</v>
      </c>
      <c r="E56" s="1" t="str">
        <f t="array" ref="E56">_xlfn.XLOOKUP(C56,Master_Pelanggan!A:A,Master_Pelanggan!D:D)</f>
        <v>Reguler</v>
      </c>
      <c r="F56" s="1" t="s">
        <v>30</v>
      </c>
      <c r="G56" s="1" t="s">
        <v>266</v>
      </c>
      <c r="H56" s="1">
        <v>415.0</v>
      </c>
      <c r="I56" s="1" t="s">
        <v>19</v>
      </c>
      <c r="J56" s="1">
        <v>214.0</v>
      </c>
      <c r="K56" s="1" t="s">
        <v>18</v>
      </c>
    </row>
    <row r="57">
      <c r="A57" s="1" t="s">
        <v>121</v>
      </c>
      <c r="B57" s="2">
        <v>46334.0</v>
      </c>
      <c r="C57" s="1" t="s">
        <v>122</v>
      </c>
      <c r="D57" s="1" t="str">
        <f t="array" ref="D57">_xlfn.XLOOKUP(C57,Master_Pelanggan!A:A,Master_Pelanggan!B:B)</f>
        <v>Muhammad Wijaya</v>
      </c>
      <c r="E57" s="1" t="str">
        <f t="array" ref="E57">_xlfn.XLOOKUP(C57,Master_Pelanggan!A:A,Master_Pelanggan!D:D)</f>
        <v>Reguler</v>
      </c>
      <c r="F57" s="1" t="s">
        <v>30</v>
      </c>
      <c r="G57" s="1" t="s">
        <v>266</v>
      </c>
      <c r="H57" s="1">
        <v>415.0</v>
      </c>
      <c r="I57" s="1" t="s">
        <v>23</v>
      </c>
      <c r="J57" s="1">
        <v>215.0</v>
      </c>
      <c r="K57" s="1" t="s">
        <v>18</v>
      </c>
    </row>
    <row r="58">
      <c r="A58" s="1" t="s">
        <v>117</v>
      </c>
      <c r="B58" s="2">
        <v>46263.0</v>
      </c>
      <c r="C58" s="1" t="s">
        <v>118</v>
      </c>
      <c r="D58" s="1" t="str">
        <f t="array" ref="D58">_xlfn.XLOOKUP(C58,Master_Pelanggan!A:A,Master_Pelanggan!B:B)</f>
        <v>Ahmad Sari</v>
      </c>
      <c r="E58" s="1" t="str">
        <f t="array" ref="E58">_xlfn.XLOOKUP(C58,Master_Pelanggan!A:A,Master_Pelanggan!D:D)</f>
        <v>Prioritas</v>
      </c>
      <c r="F58" s="1" t="s">
        <v>33</v>
      </c>
      <c r="G58" s="1" t="s">
        <v>150</v>
      </c>
      <c r="H58" s="1">
        <v>1444.0</v>
      </c>
      <c r="I58" s="1" t="s">
        <v>35</v>
      </c>
      <c r="J58" s="1">
        <v>216.0</v>
      </c>
      <c r="K58" s="1" t="s">
        <v>18</v>
      </c>
    </row>
    <row r="59">
      <c r="A59" s="1" t="s">
        <v>236</v>
      </c>
      <c r="B59" s="2">
        <v>46303.0</v>
      </c>
      <c r="C59" s="1" t="s">
        <v>237</v>
      </c>
      <c r="D59" s="1" t="str">
        <f t="array" ref="D59">_xlfn.XLOOKUP(C59,Master_Pelanggan!A:A,Master_Pelanggan!B:B)</f>
        <v>Nur Syahputra</v>
      </c>
      <c r="E59" s="1" t="str">
        <f t="array" ref="E59">_xlfn.XLOOKUP(C59,Master_Pelanggan!A:A,Master_Pelanggan!D:D)</f>
        <v>Subsidi</v>
      </c>
      <c r="F59" s="1" t="s">
        <v>38</v>
      </c>
      <c r="G59" s="1" t="s">
        <v>210</v>
      </c>
      <c r="H59" s="1">
        <v>966.0</v>
      </c>
      <c r="I59" s="1" t="s">
        <v>19</v>
      </c>
      <c r="J59" s="1">
        <v>217.0</v>
      </c>
      <c r="K59" s="1" t="s">
        <v>46</v>
      </c>
    </row>
    <row r="60">
      <c r="A60" s="1" t="s">
        <v>186</v>
      </c>
      <c r="B60" s="2">
        <v>46255.0</v>
      </c>
      <c r="C60" s="1" t="s">
        <v>124</v>
      </c>
      <c r="D60" s="1" t="str">
        <f t="array" ref="D60">_xlfn.XLOOKUP(C60,Master_Pelanggan!A:A,Master_Pelanggan!B:B)</f>
        <v>Andi Sinaga</v>
      </c>
      <c r="E60" s="1" t="str">
        <f t="array" ref="E60">_xlfn.XLOOKUP(C60,Master_Pelanggan!A:A,Master_Pelanggan!D:D)</f>
        <v>Prioritas</v>
      </c>
      <c r="F60" s="1" t="s">
        <v>15</v>
      </c>
      <c r="G60" s="1" t="s">
        <v>177</v>
      </c>
      <c r="H60" s="1">
        <v>535.0</v>
      </c>
      <c r="I60" s="1" t="s">
        <v>23</v>
      </c>
      <c r="J60" s="1">
        <v>218.0</v>
      </c>
      <c r="K60" s="1" t="s">
        <v>18</v>
      </c>
    </row>
    <row r="61">
      <c r="A61" s="1" t="s">
        <v>197</v>
      </c>
      <c r="B61" s="2">
        <v>46150.0</v>
      </c>
      <c r="C61" s="1" t="s">
        <v>198</v>
      </c>
      <c r="D61" s="1" t="str">
        <f t="array" ref="D61">_xlfn.XLOOKUP(C61,Master_Pelanggan!A:A,Master_Pelanggan!B:B)</f>
        <v>Dewi Sari</v>
      </c>
      <c r="E61" s="1" t="str">
        <f t="array" ref="E61">_xlfn.XLOOKUP(C61,Master_Pelanggan!A:A,Master_Pelanggan!D:D)</f>
        <v>Subsidi</v>
      </c>
      <c r="F61" s="1" t="s">
        <v>30</v>
      </c>
      <c r="G61" s="1" t="s">
        <v>266</v>
      </c>
      <c r="H61" s="1">
        <v>415.0</v>
      </c>
      <c r="I61" s="5" t="s">
        <v>227</v>
      </c>
      <c r="J61" s="1">
        <v>218.0</v>
      </c>
      <c r="K61" s="1" t="s">
        <v>18</v>
      </c>
    </row>
    <row r="62">
      <c r="A62" s="1" t="s">
        <v>56</v>
      </c>
      <c r="B62" s="2">
        <v>46334.0</v>
      </c>
      <c r="C62" s="1" t="s">
        <v>57</v>
      </c>
      <c r="D62" s="1" t="str">
        <f t="array" ref="D62">_xlfn.XLOOKUP(C62,Master_Pelanggan!A:A,Master_Pelanggan!B:B)</f>
        <v>Eko Nugroho</v>
      </c>
      <c r="E62" s="1" t="str">
        <f t="array" ref="E62">_xlfn.XLOOKUP(C62,Master_Pelanggan!A:A,Master_Pelanggan!D:D)</f>
        <v>Reguler</v>
      </c>
      <c r="F62" s="1" t="s">
        <v>30</v>
      </c>
      <c r="G62" s="1" t="s">
        <v>266</v>
      </c>
      <c r="H62" s="1">
        <v>415.0</v>
      </c>
      <c r="I62" s="1" t="s">
        <v>55</v>
      </c>
      <c r="J62" s="1">
        <v>219.0</v>
      </c>
      <c r="K62" s="1" t="s">
        <v>18</v>
      </c>
    </row>
    <row r="63">
      <c r="A63" s="1" t="s">
        <v>235</v>
      </c>
      <c r="B63" s="2">
        <v>46089.0</v>
      </c>
      <c r="C63" s="1" t="s">
        <v>156</v>
      </c>
      <c r="D63" s="1" t="str">
        <f t="array" ref="D63">_xlfn.XLOOKUP(C63,Master_Pelanggan!A:A,Master_Pelanggan!B:B)</f>
        <v>Siti Sinaga</v>
      </c>
      <c r="E63" s="1" t="str">
        <f t="array" ref="E63">_xlfn.XLOOKUP(C63,Master_Pelanggan!A:A,Master_Pelanggan!D:D)</f>
        <v>Reguler</v>
      </c>
      <c r="F63" s="1" t="s">
        <v>17</v>
      </c>
      <c r="G63" s="1" t="s">
        <v>159</v>
      </c>
      <c r="H63" s="1">
        <v>1352.0</v>
      </c>
      <c r="I63" s="1" t="s">
        <v>23</v>
      </c>
      <c r="J63" s="1">
        <v>220.0</v>
      </c>
      <c r="K63" s="1" t="s">
        <v>18</v>
      </c>
    </row>
    <row r="64">
      <c r="A64" s="1" t="s">
        <v>132</v>
      </c>
      <c r="B64" s="2">
        <v>46257.0</v>
      </c>
      <c r="C64" s="1" t="s">
        <v>134</v>
      </c>
      <c r="D64" s="1" t="str">
        <f t="array" ref="D64">_xlfn.XLOOKUP(C64,Master_Pelanggan!A:A,Master_Pelanggan!B:B)</f>
        <v>Nur Setiawan</v>
      </c>
      <c r="E64" s="1" t="str">
        <f t="array" ref="E64">_xlfn.XLOOKUP(C64,Master_Pelanggan!A:A,Master_Pelanggan!D:D)</f>
        <v>Reguler</v>
      </c>
      <c r="F64" s="1" t="s">
        <v>51</v>
      </c>
      <c r="G64" s="1" t="s">
        <v>139</v>
      </c>
      <c r="H64" s="1">
        <v>633.0</v>
      </c>
      <c r="I64" s="5" t="s">
        <v>227</v>
      </c>
      <c r="J64" s="1">
        <v>223.0</v>
      </c>
      <c r="K64" s="1" t="s">
        <v>18</v>
      </c>
    </row>
    <row r="65">
      <c r="A65" s="1" t="s">
        <v>170</v>
      </c>
      <c r="B65" s="2">
        <v>46030.0</v>
      </c>
      <c r="C65" s="5" t="s">
        <v>227</v>
      </c>
      <c r="D65" s="1" t="str">
        <f t="array" ref="D65">_xlfn.XLOOKUP(C65,Master_Pelanggan!A:A,Master_Pelanggan!B:B)</f>
        <v>#N/A</v>
      </c>
      <c r="E65" s="1" t="str">
        <f t="array" ref="E65">_xlfn.XLOOKUP(C65,Master_Pelanggan!A:A,Master_Pelanggan!D:D)</f>
        <v>#N/A</v>
      </c>
      <c r="F65" s="1" t="s">
        <v>33</v>
      </c>
      <c r="G65" s="1" t="s">
        <v>150</v>
      </c>
      <c r="H65" s="1">
        <v>1444.0</v>
      </c>
      <c r="I65" s="1" t="s">
        <v>55</v>
      </c>
      <c r="J65" s="1">
        <v>223.0</v>
      </c>
      <c r="K65" s="1" t="s">
        <v>18</v>
      </c>
    </row>
    <row r="66">
      <c r="A66" s="1" t="s">
        <v>155</v>
      </c>
      <c r="B66" s="2">
        <v>46255.0</v>
      </c>
      <c r="C66" s="1" t="s">
        <v>156</v>
      </c>
      <c r="D66" s="1" t="str">
        <f t="array" ref="D66">_xlfn.XLOOKUP(C66,Master_Pelanggan!A:A,Master_Pelanggan!B:B)</f>
        <v>Siti Sinaga</v>
      </c>
      <c r="E66" s="1" t="str">
        <f t="array" ref="E66">_xlfn.XLOOKUP(C66,Master_Pelanggan!A:A,Master_Pelanggan!D:D)</f>
        <v>Reguler</v>
      </c>
      <c r="F66" s="1" t="s">
        <v>33</v>
      </c>
      <c r="G66" s="1" t="s">
        <v>150</v>
      </c>
      <c r="H66" s="1">
        <v>1444.0</v>
      </c>
      <c r="I66" s="1" t="s">
        <v>19</v>
      </c>
      <c r="J66" s="1">
        <v>224.0</v>
      </c>
      <c r="K66" s="1" t="s">
        <v>18</v>
      </c>
    </row>
    <row r="67">
      <c r="A67" s="1" t="s">
        <v>67</v>
      </c>
      <c r="B67" s="2">
        <v>46251.0</v>
      </c>
      <c r="C67" s="1" t="s">
        <v>69</v>
      </c>
      <c r="D67" s="1" t="str">
        <f t="array" ref="D67">_xlfn.XLOOKUP(C67,Master_Pelanggan!A:A,Master_Pelanggan!B:B)</f>
        <v>Ayu Wijaya</v>
      </c>
      <c r="E67" s="1" t="str">
        <f t="array" ref="E67">_xlfn.XLOOKUP(C67,Master_Pelanggan!A:A,Master_Pelanggan!D:D)</f>
        <v>Reguler</v>
      </c>
      <c r="F67" s="1" t="s">
        <v>15</v>
      </c>
      <c r="G67" s="1" t="s">
        <v>177</v>
      </c>
      <c r="H67" s="1">
        <v>535.0</v>
      </c>
      <c r="I67" s="1" t="s">
        <v>55</v>
      </c>
      <c r="J67" s="1">
        <v>225.0</v>
      </c>
      <c r="K67" s="1" t="s">
        <v>18</v>
      </c>
    </row>
    <row r="68">
      <c r="A68" s="1" t="s">
        <v>146</v>
      </c>
      <c r="B68" s="2">
        <v>46247.0</v>
      </c>
      <c r="C68" s="1" t="s">
        <v>147</v>
      </c>
      <c r="D68" s="1" t="str">
        <f t="array" ref="D68">_xlfn.XLOOKUP(C68,Master_Pelanggan!A:A,Master_Pelanggan!B:B)</f>
        <v>Hendra Syahputra</v>
      </c>
      <c r="E68" s="1" t="str">
        <f t="array" ref="E68">_xlfn.XLOOKUP(C68,Master_Pelanggan!A:A,Master_Pelanggan!D:D)</f>
        <v>Prioritas</v>
      </c>
      <c r="F68" s="1" t="s">
        <v>30</v>
      </c>
      <c r="G68" s="1" t="s">
        <v>266</v>
      </c>
      <c r="H68" s="1">
        <v>415.0</v>
      </c>
      <c r="I68" s="1" t="s">
        <v>23</v>
      </c>
      <c r="J68" s="1">
        <v>225.0</v>
      </c>
      <c r="K68" s="1" t="s">
        <v>46</v>
      </c>
    </row>
    <row r="69">
      <c r="A69" s="1" t="s">
        <v>252</v>
      </c>
      <c r="B69" s="2">
        <v>46253.0</v>
      </c>
      <c r="C69" s="1" t="s">
        <v>253</v>
      </c>
      <c r="D69" s="1" t="str">
        <f t="array" ref="D69">_xlfn.XLOOKUP(C69,Master_Pelanggan!A:A,Master_Pelanggan!B:B)</f>
        <v>Siti Wahyuni</v>
      </c>
      <c r="E69" s="1" t="str">
        <f t="array" ref="E69">_xlfn.XLOOKUP(C69,Master_Pelanggan!A:A,Master_Pelanggan!D:D)</f>
        <v>Prioritas</v>
      </c>
      <c r="F69" s="1" t="s">
        <v>38</v>
      </c>
      <c r="G69" s="1" t="s">
        <v>210</v>
      </c>
      <c r="H69" s="1">
        <v>966.0</v>
      </c>
      <c r="I69" s="1" t="s">
        <v>35</v>
      </c>
      <c r="J69" s="1">
        <v>225.0</v>
      </c>
      <c r="K69" s="1" t="s">
        <v>46</v>
      </c>
    </row>
    <row r="70">
      <c r="A70" s="1" t="s">
        <v>162</v>
      </c>
      <c r="B70" s="2">
        <v>46254.0</v>
      </c>
      <c r="C70" s="1" t="s">
        <v>163</v>
      </c>
      <c r="D70" s="1" t="str">
        <f t="array" ref="D70">_xlfn.XLOOKUP(C70,Master_Pelanggan!A:A,Master_Pelanggan!B:B)</f>
        <v>Hadi Gunawan</v>
      </c>
      <c r="E70" s="1" t="str">
        <f t="array" ref="E70">_xlfn.XLOOKUP(C70,Master_Pelanggan!A:A,Master_Pelanggan!D:D)</f>
        <v>Reguler</v>
      </c>
      <c r="F70" s="1" t="s">
        <v>17</v>
      </c>
      <c r="G70" s="1" t="s">
        <v>159</v>
      </c>
      <c r="H70" s="1">
        <v>1352.0</v>
      </c>
      <c r="I70" s="1" t="s">
        <v>55</v>
      </c>
      <c r="J70" s="1">
        <v>226.0</v>
      </c>
      <c r="K70" s="1" t="s">
        <v>18</v>
      </c>
    </row>
    <row r="71">
      <c r="A71" s="1" t="s">
        <v>173</v>
      </c>
      <c r="B71" s="2">
        <v>46258.0</v>
      </c>
      <c r="C71" s="1" t="s">
        <v>174</v>
      </c>
      <c r="D71" s="1" t="str">
        <f t="array" ref="D71">_xlfn.XLOOKUP(C71,Master_Pelanggan!A:A,Master_Pelanggan!B:B)</f>
        <v>Rizky Wahyuni</v>
      </c>
      <c r="E71" s="1" t="str">
        <f t="array" ref="E71">_xlfn.XLOOKUP(C71,Master_Pelanggan!A:A,Master_Pelanggan!D:D)</f>
        <v>Reguler</v>
      </c>
      <c r="F71" s="1" t="s">
        <v>51</v>
      </c>
      <c r="G71" s="1" t="s">
        <v>139</v>
      </c>
      <c r="H71" s="1">
        <v>633.0</v>
      </c>
      <c r="I71" s="1" t="s">
        <v>19</v>
      </c>
      <c r="J71" s="1">
        <v>226.0</v>
      </c>
      <c r="K71" s="1" t="s">
        <v>18</v>
      </c>
    </row>
    <row r="72">
      <c r="A72" s="1" t="s">
        <v>206</v>
      </c>
      <c r="B72" s="2">
        <v>46255.0</v>
      </c>
      <c r="C72" s="1" t="s">
        <v>207</v>
      </c>
      <c r="D72" s="1" t="str">
        <f t="array" ref="D72">_xlfn.XLOOKUP(C72,Master_Pelanggan!A:A,Master_Pelanggan!B:B)</f>
        <v>Hendra Astuti</v>
      </c>
      <c r="E72" s="1" t="str">
        <f t="array" ref="E72">_xlfn.XLOOKUP(C72,Master_Pelanggan!A:A,Master_Pelanggan!D:D)</f>
        <v>Reguler</v>
      </c>
      <c r="F72" s="1" t="s">
        <v>33</v>
      </c>
      <c r="G72" s="1" t="s">
        <v>150</v>
      </c>
      <c r="H72" s="1">
        <v>1444.0</v>
      </c>
      <c r="I72" s="1" t="s">
        <v>23</v>
      </c>
      <c r="J72" s="1">
        <v>226.0</v>
      </c>
      <c r="K72" s="1" t="s">
        <v>18</v>
      </c>
    </row>
    <row r="73">
      <c r="A73" s="1" t="s">
        <v>148</v>
      </c>
      <c r="B73" s="2">
        <v>46258.0</v>
      </c>
      <c r="C73" s="1" t="s">
        <v>149</v>
      </c>
      <c r="D73" s="1" t="str">
        <f t="array" ref="D73">_xlfn.XLOOKUP(C73,Master_Pelanggan!A:A,Master_Pelanggan!B:B)</f>
        <v>Eko Nugroho</v>
      </c>
      <c r="E73" s="1" t="str">
        <f t="array" ref="E73">_xlfn.XLOOKUP(C73,Master_Pelanggan!A:A,Master_Pelanggan!D:D)</f>
        <v>Prioritas</v>
      </c>
      <c r="F73" s="1" t="s">
        <v>30</v>
      </c>
      <c r="G73" s="1" t="s">
        <v>266</v>
      </c>
      <c r="H73" s="1">
        <v>415.0</v>
      </c>
      <c r="I73" s="1" t="s">
        <v>23</v>
      </c>
      <c r="J73" s="1">
        <v>228.0</v>
      </c>
      <c r="K73" s="1" t="s">
        <v>18</v>
      </c>
    </row>
    <row r="74">
      <c r="A74" s="1" t="s">
        <v>211</v>
      </c>
      <c r="B74" s="2">
        <v>46250.0</v>
      </c>
      <c r="C74" s="1" t="s">
        <v>212</v>
      </c>
      <c r="D74" s="1" t="str">
        <f t="array" ref="D74">_xlfn.XLOOKUP(C74,Master_Pelanggan!A:A,Master_Pelanggan!B:B)</f>
        <v>Tri Wibowo</v>
      </c>
      <c r="E74" s="1" t="str">
        <f t="array" ref="E74">_xlfn.XLOOKUP(C74,Master_Pelanggan!A:A,Master_Pelanggan!D:D)</f>
        <v>Reguler</v>
      </c>
      <c r="F74" s="1" t="s">
        <v>33</v>
      </c>
      <c r="G74" s="1" t="s">
        <v>150</v>
      </c>
      <c r="H74" s="1">
        <v>1444.0</v>
      </c>
      <c r="I74" s="5" t="s">
        <v>227</v>
      </c>
      <c r="J74" s="1">
        <v>228.0</v>
      </c>
      <c r="K74" s="1" t="s">
        <v>18</v>
      </c>
    </row>
    <row r="75">
      <c r="A75" s="1" t="s">
        <v>219</v>
      </c>
      <c r="B75" s="2">
        <v>46150.0</v>
      </c>
      <c r="C75" s="1" t="s">
        <v>220</v>
      </c>
      <c r="D75" s="1" t="str">
        <f t="array" ref="D75">_xlfn.XLOOKUP(C75,Master_Pelanggan!A:A,Master_Pelanggan!B:B)</f>
        <v>Muhammad Kurniawan</v>
      </c>
      <c r="E75" s="1" t="str">
        <f t="array" ref="E75">_xlfn.XLOOKUP(C75,Master_Pelanggan!A:A,Master_Pelanggan!D:D)</f>
        <v>Subsidi</v>
      </c>
      <c r="F75" s="1" t="s">
        <v>33</v>
      </c>
      <c r="G75" s="1" t="s">
        <v>150</v>
      </c>
      <c r="H75" s="1">
        <v>1444.0</v>
      </c>
      <c r="I75" s="1" t="s">
        <v>19</v>
      </c>
      <c r="J75" s="1">
        <v>228.0</v>
      </c>
      <c r="K75" s="1" t="s">
        <v>18</v>
      </c>
    </row>
    <row r="76">
      <c r="A76" s="1" t="s">
        <v>93</v>
      </c>
      <c r="B76" s="2">
        <v>46263.0</v>
      </c>
      <c r="C76" s="1" t="s">
        <v>94</v>
      </c>
      <c r="D76" s="1" t="str">
        <f t="array" ref="D76">_xlfn.XLOOKUP(C76,Master_Pelanggan!A:A,Master_Pelanggan!B:B)</f>
        <v>Rudi Saputra</v>
      </c>
      <c r="E76" s="1" t="str">
        <f t="array" ref="E76">_xlfn.XLOOKUP(C76,Master_Pelanggan!A:A,Master_Pelanggan!D:D)</f>
        <v>Subsidi</v>
      </c>
      <c r="F76" s="1" t="s">
        <v>17</v>
      </c>
      <c r="G76" s="1" t="s">
        <v>159</v>
      </c>
      <c r="H76" s="1">
        <v>1352.0</v>
      </c>
      <c r="I76" s="1" t="s">
        <v>55</v>
      </c>
      <c r="J76" s="1">
        <v>230.0</v>
      </c>
      <c r="K76" s="1" t="s">
        <v>18</v>
      </c>
    </row>
    <row r="77">
      <c r="A77" s="1" t="s">
        <v>151</v>
      </c>
      <c r="B77" s="2">
        <v>46250.0</v>
      </c>
      <c r="C77" s="1" t="s">
        <v>152</v>
      </c>
      <c r="D77" s="1" t="str">
        <f t="array" ref="D77">_xlfn.XLOOKUP(C77,Master_Pelanggan!A:A,Master_Pelanggan!B:B)</f>
        <v>Siti Gunawan</v>
      </c>
      <c r="E77" s="1" t="str">
        <f t="array" ref="E77">_xlfn.XLOOKUP(C77,Master_Pelanggan!A:A,Master_Pelanggan!D:D)</f>
        <v>Reguler</v>
      </c>
      <c r="F77" s="1" t="s">
        <v>38</v>
      </c>
      <c r="G77" s="1" t="s">
        <v>210</v>
      </c>
      <c r="H77" s="1">
        <v>966.0</v>
      </c>
      <c r="I77" s="1" t="s">
        <v>55</v>
      </c>
      <c r="J77" s="1">
        <v>230.0</v>
      </c>
      <c r="K77" s="1" t="s">
        <v>18</v>
      </c>
    </row>
    <row r="78">
      <c r="A78" s="1" t="s">
        <v>153</v>
      </c>
      <c r="B78" s="2">
        <v>46273.0</v>
      </c>
      <c r="C78" s="1" t="s">
        <v>154</v>
      </c>
      <c r="D78" s="1" t="str">
        <f t="array" ref="D78">_xlfn.XLOOKUP(C78,Master_Pelanggan!A:A,Master_Pelanggan!B:B)</f>
        <v>Siti Gunawan</v>
      </c>
      <c r="E78" s="1" t="str">
        <f t="array" ref="E78">_xlfn.XLOOKUP(C78,Master_Pelanggan!A:A,Master_Pelanggan!D:D)</f>
        <v>Subsidi</v>
      </c>
      <c r="F78" s="1" t="s">
        <v>51</v>
      </c>
      <c r="G78" s="1" t="s">
        <v>139</v>
      </c>
      <c r="H78" s="1">
        <v>633.0</v>
      </c>
      <c r="I78" s="1" t="s">
        <v>23</v>
      </c>
      <c r="J78" s="1">
        <v>232.0</v>
      </c>
      <c r="K78" s="1" t="s">
        <v>18</v>
      </c>
    </row>
    <row r="79">
      <c r="A79" s="1" t="s">
        <v>178</v>
      </c>
      <c r="B79" s="2">
        <v>46273.0</v>
      </c>
      <c r="C79" s="1" t="s">
        <v>179</v>
      </c>
      <c r="D79" s="1" t="str">
        <f t="array" ref="D79">_xlfn.XLOOKUP(C79,Master_Pelanggan!A:A,Master_Pelanggan!B:B)</f>
        <v>Iwan Setiawan</v>
      </c>
      <c r="E79" s="1" t="str">
        <f t="array" ref="E79">_xlfn.XLOOKUP(C79,Master_Pelanggan!A:A,Master_Pelanggan!D:D)</f>
        <v>Reguler</v>
      </c>
      <c r="F79" s="1" t="s">
        <v>30</v>
      </c>
      <c r="G79" s="1" t="s">
        <v>266</v>
      </c>
      <c r="H79" s="1">
        <v>415.0</v>
      </c>
      <c r="I79" s="1" t="s">
        <v>23</v>
      </c>
      <c r="J79" s="1">
        <v>233.0</v>
      </c>
      <c r="K79" s="1" t="s">
        <v>46</v>
      </c>
    </row>
    <row r="80">
      <c r="A80" s="1" t="s">
        <v>201</v>
      </c>
      <c r="B80" s="2">
        <v>46252.0</v>
      </c>
      <c r="C80" s="1" t="s">
        <v>202</v>
      </c>
      <c r="D80" s="1" t="str">
        <f t="array" ref="D80">_xlfn.XLOOKUP(C80,Master_Pelanggan!A:A,Master_Pelanggan!B:B)</f>
        <v>Sri Santoso</v>
      </c>
      <c r="E80" s="1" t="str">
        <f t="array" ref="E80">_xlfn.XLOOKUP(C80,Master_Pelanggan!A:A,Master_Pelanggan!D:D)</f>
        <v>Reguler</v>
      </c>
      <c r="F80" s="1" t="s">
        <v>33</v>
      </c>
      <c r="G80" s="1" t="s">
        <v>150</v>
      </c>
      <c r="H80" s="1">
        <v>1444.0</v>
      </c>
      <c r="I80" s="1" t="s">
        <v>35</v>
      </c>
      <c r="J80" s="1">
        <v>233.0</v>
      </c>
      <c r="K80" s="1" t="s">
        <v>18</v>
      </c>
    </row>
    <row r="81">
      <c r="A81" s="1" t="s">
        <v>240</v>
      </c>
      <c r="B81" s="2">
        <v>46252.0</v>
      </c>
      <c r="C81" s="1" t="s">
        <v>241</v>
      </c>
      <c r="D81" s="1" t="str">
        <f t="array" ref="D81">_xlfn.XLOOKUP(C81,Master_Pelanggan!A:A,Master_Pelanggan!B:B)</f>
        <v>Hendra Kurniawan</v>
      </c>
      <c r="E81" s="1" t="str">
        <f t="array" ref="E81">_xlfn.XLOOKUP(C81,Master_Pelanggan!A:A,Master_Pelanggan!D:D)</f>
        <v>Prioritas</v>
      </c>
      <c r="F81" s="1" t="s">
        <v>17</v>
      </c>
      <c r="G81" s="1" t="s">
        <v>159</v>
      </c>
      <c r="H81" s="1">
        <v>1352.0</v>
      </c>
      <c r="I81" s="1" t="s">
        <v>35</v>
      </c>
      <c r="J81" s="1">
        <v>233.0</v>
      </c>
      <c r="K81" s="1" t="s">
        <v>18</v>
      </c>
    </row>
    <row r="82">
      <c r="A82" s="1" t="s">
        <v>265</v>
      </c>
      <c r="B82" s="2">
        <v>46256.0</v>
      </c>
      <c r="C82" s="1" t="s">
        <v>214</v>
      </c>
      <c r="D82" s="1" t="str">
        <f t="array" ref="D82">_xlfn.XLOOKUP(C82,Master_Pelanggan!A:A,Master_Pelanggan!B:B)</f>
        <v>Yuni Sari</v>
      </c>
      <c r="E82" s="1" t="str">
        <f t="array" ref="E82">_xlfn.XLOOKUP(C82,Master_Pelanggan!A:A,Master_Pelanggan!D:D)</f>
        <v>Prioritas</v>
      </c>
      <c r="F82" s="1" t="s">
        <v>30</v>
      </c>
      <c r="G82" s="1" t="s">
        <v>266</v>
      </c>
      <c r="H82" s="1">
        <v>415.0</v>
      </c>
      <c r="I82" s="1" t="s">
        <v>27</v>
      </c>
      <c r="J82" s="1">
        <v>233.0</v>
      </c>
      <c r="K82" s="1" t="s">
        <v>18</v>
      </c>
    </row>
    <row r="83">
      <c r="A83" s="1" t="s">
        <v>136</v>
      </c>
      <c r="B83" s="2">
        <v>46249.0</v>
      </c>
      <c r="C83" s="1" t="s">
        <v>137</v>
      </c>
      <c r="D83" s="1" t="str">
        <f t="array" ref="D83">_xlfn.XLOOKUP(C83,Master_Pelanggan!A:A,Master_Pelanggan!B:B)</f>
        <v>Ayu Hidayat</v>
      </c>
      <c r="E83" s="1" t="str">
        <f t="array" ref="E83">_xlfn.XLOOKUP(C83,Master_Pelanggan!A:A,Master_Pelanggan!D:D)</f>
        <v>Prioritas</v>
      </c>
      <c r="F83" s="1" t="s">
        <v>51</v>
      </c>
      <c r="G83" s="1" t="s">
        <v>139</v>
      </c>
      <c r="H83" s="1">
        <v>633.0</v>
      </c>
      <c r="I83" s="1" t="s">
        <v>23</v>
      </c>
      <c r="J83" s="1">
        <v>236.0</v>
      </c>
      <c r="K83" s="1" t="s">
        <v>18</v>
      </c>
    </row>
    <row r="84">
      <c r="A84" s="1" t="s">
        <v>223</v>
      </c>
      <c r="B84" s="2">
        <v>46089.0</v>
      </c>
      <c r="C84" s="1" t="s">
        <v>224</v>
      </c>
      <c r="D84" s="1" t="str">
        <f t="array" ref="D84">_xlfn.XLOOKUP(C84,Master_Pelanggan!A:A,Master_Pelanggan!B:B)</f>
        <v>Fitri Hidayat</v>
      </c>
      <c r="E84" s="1" t="str">
        <f t="array" ref="E84">_xlfn.XLOOKUP(C84,Master_Pelanggan!A:A,Master_Pelanggan!D:D)</f>
        <v>Reguler</v>
      </c>
      <c r="F84" s="1" t="s">
        <v>17</v>
      </c>
      <c r="G84" s="1" t="s">
        <v>159</v>
      </c>
      <c r="H84" s="1">
        <v>1352.0</v>
      </c>
      <c r="I84" s="1" t="s">
        <v>27</v>
      </c>
      <c r="J84" s="1">
        <v>236.0</v>
      </c>
      <c r="K84" s="1" t="s">
        <v>46</v>
      </c>
    </row>
    <row r="85">
      <c r="A85" s="1" t="s">
        <v>257</v>
      </c>
      <c r="B85" s="2">
        <v>46258.0</v>
      </c>
      <c r="C85" s="1" t="s">
        <v>258</v>
      </c>
      <c r="D85" s="1" t="str">
        <f t="array" ref="D85">_xlfn.XLOOKUP(C85,Master_Pelanggan!A:A,Master_Pelanggan!B:B)</f>
        <v>Ayu Lestari</v>
      </c>
      <c r="E85" s="1" t="str">
        <f t="array" ref="E85">_xlfn.XLOOKUP(C85,Master_Pelanggan!A:A,Master_Pelanggan!D:D)</f>
        <v>Prioritas</v>
      </c>
      <c r="F85" s="1" t="s">
        <v>51</v>
      </c>
      <c r="G85" s="1" t="s">
        <v>139</v>
      </c>
      <c r="H85" s="1">
        <v>633.0</v>
      </c>
      <c r="I85" s="1" t="s">
        <v>23</v>
      </c>
      <c r="J85" s="1">
        <v>238.0</v>
      </c>
      <c r="K85" s="1" t="s">
        <v>18</v>
      </c>
    </row>
    <row r="86">
      <c r="A86" s="1" t="s">
        <v>11</v>
      </c>
      <c r="B86" s="2">
        <v>46255.0</v>
      </c>
      <c r="C86" s="1" t="s">
        <v>14</v>
      </c>
      <c r="D86" s="1" t="str">
        <f t="array" ref="D86">_xlfn.XLOOKUP(C86,Master_Pelanggan!A:A,Master_Pelanggan!B:B)</f>
        <v>Ahmad Setiawan</v>
      </c>
      <c r="E86" s="1" t="str">
        <f t="array" ref="E86">_xlfn.XLOOKUP(C86,Master_Pelanggan!A:A,Master_Pelanggan!D:D)</f>
        <v>Reguler</v>
      </c>
      <c r="F86" s="1" t="s">
        <v>15</v>
      </c>
      <c r="G86" s="1" t="s">
        <v>177</v>
      </c>
      <c r="H86" s="1">
        <v>535.0</v>
      </c>
      <c r="I86" s="5" t="s">
        <v>227</v>
      </c>
      <c r="J86" s="1">
        <v>239.0</v>
      </c>
      <c r="K86" s="1" t="s">
        <v>18</v>
      </c>
    </row>
    <row r="87">
      <c r="A87" s="1" t="s">
        <v>254</v>
      </c>
      <c r="B87" s="2">
        <v>46258.0</v>
      </c>
      <c r="C87" s="1" t="s">
        <v>256</v>
      </c>
      <c r="D87" s="1" t="str">
        <f t="array" ref="D87">_xlfn.XLOOKUP(C87,Master_Pelanggan!A:A,Master_Pelanggan!B:B)</f>
        <v>Ayu Pratama</v>
      </c>
      <c r="E87" s="1" t="str">
        <f t="array" ref="E87">_xlfn.XLOOKUP(C87,Master_Pelanggan!A:A,Master_Pelanggan!D:D)</f>
        <v>Reguler</v>
      </c>
      <c r="F87" s="1" t="s">
        <v>30</v>
      </c>
      <c r="G87" s="1" t="s">
        <v>266</v>
      </c>
      <c r="H87" s="1">
        <v>415.0</v>
      </c>
      <c r="I87" s="1" t="s">
        <v>19</v>
      </c>
      <c r="J87" s="1">
        <v>240.0</v>
      </c>
      <c r="K87" s="1" t="s">
        <v>18</v>
      </c>
    </row>
    <row r="88">
      <c r="A88" s="1" t="s">
        <v>44</v>
      </c>
      <c r="B88" s="2">
        <v>46257.0</v>
      </c>
      <c r="C88" s="1" t="s">
        <v>45</v>
      </c>
      <c r="D88" s="1" t="str">
        <f t="array" ref="D88">_xlfn.XLOOKUP(C88,Master_Pelanggan!A:A,Master_Pelanggan!B:B)</f>
        <v>Lia Setiawan</v>
      </c>
      <c r="E88" s="1" t="str">
        <f t="array" ref="E88">_xlfn.XLOOKUP(C88,Master_Pelanggan!A:A,Master_Pelanggan!D:D)</f>
        <v>Subsidi</v>
      </c>
      <c r="F88" s="1" t="s">
        <v>33</v>
      </c>
      <c r="G88" s="1" t="s">
        <v>150</v>
      </c>
      <c r="H88" s="1">
        <v>1444.0</v>
      </c>
      <c r="I88" s="1" t="s">
        <v>27</v>
      </c>
      <c r="J88" s="1">
        <v>243.0</v>
      </c>
      <c r="K88" s="1" t="s">
        <v>46</v>
      </c>
    </row>
    <row r="89">
      <c r="A89" s="1" t="s">
        <v>263</v>
      </c>
      <c r="B89" s="2">
        <v>46242.0</v>
      </c>
      <c r="C89" s="1" t="s">
        <v>264</v>
      </c>
      <c r="D89" s="1" t="str">
        <f t="array" ref="D89">_xlfn.XLOOKUP(C89,Master_Pelanggan!A:A,Master_Pelanggan!B:B)</f>
        <v>Nur Sinaga</v>
      </c>
      <c r="E89" s="1" t="str">
        <f t="array" ref="E89">_xlfn.XLOOKUP(C89,Master_Pelanggan!A:A,Master_Pelanggan!D:D)</f>
        <v>Prioritas</v>
      </c>
      <c r="F89" s="1" t="s">
        <v>38</v>
      </c>
      <c r="G89" s="1" t="s">
        <v>210</v>
      </c>
      <c r="H89" s="1">
        <v>966.0</v>
      </c>
      <c r="I89" s="5" t="s">
        <v>227</v>
      </c>
      <c r="J89" s="1">
        <v>245.0</v>
      </c>
      <c r="K89" s="1" t="s">
        <v>46</v>
      </c>
    </row>
    <row r="90">
      <c r="A90" s="1" t="s">
        <v>189</v>
      </c>
      <c r="B90" s="2">
        <v>46364.0</v>
      </c>
      <c r="C90" s="1" t="s">
        <v>190</v>
      </c>
      <c r="D90" s="1" t="str">
        <f t="array" ref="D90">_xlfn.XLOOKUP(C90,Master_Pelanggan!A:A,Master_Pelanggan!B:B)</f>
        <v>Lia Kurniawan</v>
      </c>
      <c r="E90" s="1" t="str">
        <f t="array" ref="E90">_xlfn.XLOOKUP(C90,Master_Pelanggan!A:A,Master_Pelanggan!D:D)</f>
        <v>Reguler</v>
      </c>
      <c r="F90" s="1" t="s">
        <v>33</v>
      </c>
      <c r="G90" s="1" t="s">
        <v>150</v>
      </c>
      <c r="H90" s="1">
        <v>1444.0</v>
      </c>
      <c r="I90" s="1" t="s">
        <v>27</v>
      </c>
      <c r="J90" s="1">
        <v>246.0</v>
      </c>
      <c r="K90" s="1" t="s">
        <v>18</v>
      </c>
    </row>
    <row r="91">
      <c r="A91" s="1" t="s">
        <v>13</v>
      </c>
      <c r="B91" s="2">
        <v>46089.0</v>
      </c>
      <c r="C91" s="1" t="s">
        <v>16</v>
      </c>
      <c r="D91" s="1" t="str">
        <f t="array" ref="D91">_xlfn.XLOOKUP(C91,Master_Pelanggan!A:A,Master_Pelanggan!B:B)</f>
        <v>Sri Gunawan</v>
      </c>
      <c r="E91" s="1" t="str">
        <f t="array" ref="E91">_xlfn.XLOOKUP(C91,Master_Pelanggan!A:A,Master_Pelanggan!D:D)</f>
        <v>Reguler</v>
      </c>
      <c r="F91" s="1" t="s">
        <v>17</v>
      </c>
      <c r="G91" s="1" t="s">
        <v>159</v>
      </c>
      <c r="H91" s="1">
        <v>1352.0</v>
      </c>
      <c r="I91" s="1" t="s">
        <v>19</v>
      </c>
      <c r="J91" s="5">
        <v>248.0</v>
      </c>
      <c r="K91" s="1" t="s">
        <v>18</v>
      </c>
    </row>
    <row r="92">
      <c r="A92" s="1" t="s">
        <v>24</v>
      </c>
      <c r="B92" s="2">
        <v>46030.0</v>
      </c>
      <c r="C92" s="1" t="s">
        <v>26</v>
      </c>
      <c r="D92" s="1" t="str">
        <f t="array" ref="D92">_xlfn.XLOOKUP(C92,Master_Pelanggan!A:A,Master_Pelanggan!B:B)</f>
        <v>Siti Saputra</v>
      </c>
      <c r="E92" s="1" t="str">
        <f t="array" ref="E92">_xlfn.XLOOKUP(C92,Master_Pelanggan!A:A,Master_Pelanggan!D:D)</f>
        <v>Reguler</v>
      </c>
      <c r="F92" s="1" t="s">
        <v>17</v>
      </c>
      <c r="G92" s="1" t="s">
        <v>159</v>
      </c>
      <c r="H92" s="1">
        <v>1352.0</v>
      </c>
      <c r="I92" s="1" t="s">
        <v>27</v>
      </c>
      <c r="J92" s="1">
        <v>251.0</v>
      </c>
      <c r="K92" s="1" t="s">
        <v>18</v>
      </c>
    </row>
    <row r="93">
      <c r="A93" s="1" t="s">
        <v>259</v>
      </c>
      <c r="B93" s="2">
        <v>46303.0</v>
      </c>
      <c r="C93" s="1" t="s">
        <v>145</v>
      </c>
      <c r="D93" s="1" t="str">
        <f t="array" ref="D93">_xlfn.XLOOKUP(C93,Master_Pelanggan!A:A,Master_Pelanggan!B:B)</f>
        <v>Andi Wahyuni</v>
      </c>
      <c r="E93" s="1" t="str">
        <f t="array" ref="E93">_xlfn.XLOOKUP(C93,Master_Pelanggan!A:A,Master_Pelanggan!D:D)</f>
        <v>Prioritas</v>
      </c>
      <c r="F93" s="1" t="s">
        <v>38</v>
      </c>
      <c r="G93" s="1" t="s">
        <v>210</v>
      </c>
      <c r="H93" s="1">
        <v>966.0</v>
      </c>
      <c r="I93" s="1" t="s">
        <v>23</v>
      </c>
      <c r="J93" s="1">
        <v>251.0</v>
      </c>
      <c r="K93" s="1" t="s">
        <v>46</v>
      </c>
    </row>
    <row r="94">
      <c r="A94" s="1" t="s">
        <v>123</v>
      </c>
      <c r="B94" s="2">
        <v>46254.0</v>
      </c>
      <c r="C94" s="1" t="s">
        <v>124</v>
      </c>
      <c r="D94" s="1" t="str">
        <f t="array" ref="D94">_xlfn.XLOOKUP(C94,Master_Pelanggan!A:A,Master_Pelanggan!B:B)</f>
        <v>Andi Sinaga</v>
      </c>
      <c r="E94" s="1" t="str">
        <f t="array" ref="E94">_xlfn.XLOOKUP(C94,Master_Pelanggan!A:A,Master_Pelanggan!D:D)</f>
        <v>Prioritas</v>
      </c>
      <c r="F94" s="1" t="s">
        <v>38</v>
      </c>
      <c r="G94" s="1" t="s">
        <v>210</v>
      </c>
      <c r="H94" s="1">
        <v>966.0</v>
      </c>
      <c r="I94" s="1" t="s">
        <v>27</v>
      </c>
      <c r="J94" s="1">
        <v>258.0</v>
      </c>
      <c r="K94" s="1" t="s">
        <v>18</v>
      </c>
    </row>
    <row r="95">
      <c r="A95" s="1" t="s">
        <v>255</v>
      </c>
      <c r="B95" s="2">
        <v>46265.0</v>
      </c>
      <c r="C95" s="1" t="s">
        <v>243</v>
      </c>
      <c r="D95" s="1" t="str">
        <f t="array" ref="D95">_xlfn.XLOOKUP(C95,Master_Pelanggan!A:A,Master_Pelanggan!B:B)</f>
        <v>Rudi Hidayat</v>
      </c>
      <c r="E95" s="1" t="str">
        <f t="array" ref="E95">_xlfn.XLOOKUP(C95,Master_Pelanggan!A:A,Master_Pelanggan!D:D)</f>
        <v>Reguler</v>
      </c>
      <c r="F95" s="1" t="s">
        <v>38</v>
      </c>
      <c r="G95" s="1" t="s">
        <v>210</v>
      </c>
      <c r="H95" s="1">
        <v>966.0</v>
      </c>
      <c r="I95" s="1" t="s">
        <v>19</v>
      </c>
      <c r="J95" s="1">
        <v>259.0</v>
      </c>
      <c r="K95" s="1" t="s">
        <v>18</v>
      </c>
    </row>
    <row r="96">
      <c r="A96" s="1" t="s">
        <v>41</v>
      </c>
      <c r="B96" s="2">
        <v>46150.0</v>
      </c>
      <c r="C96" s="1" t="s">
        <v>42</v>
      </c>
      <c r="D96" s="1" t="str">
        <f t="array" ref="D96">_xlfn.XLOOKUP(C96,Master_Pelanggan!A:A,Master_Pelanggan!B:B)</f>
        <v>Rina Sari</v>
      </c>
      <c r="E96" s="1" t="str">
        <f t="array" ref="E96">_xlfn.XLOOKUP(C96,Master_Pelanggan!A:A,Master_Pelanggan!D:D)</f>
        <v>Reguler</v>
      </c>
      <c r="F96" s="1" t="s">
        <v>33</v>
      </c>
      <c r="G96" s="1" t="s">
        <v>150</v>
      </c>
      <c r="H96" s="1">
        <v>1444.0</v>
      </c>
      <c r="I96" s="1" t="s">
        <v>35</v>
      </c>
      <c r="J96" s="1">
        <v>261.0</v>
      </c>
      <c r="K96" s="1" t="s">
        <v>18</v>
      </c>
    </row>
    <row r="97">
      <c r="A97" s="1" t="s">
        <v>229</v>
      </c>
      <c r="B97" s="2">
        <v>46364.0</v>
      </c>
      <c r="C97" s="1" t="s">
        <v>230</v>
      </c>
      <c r="D97" s="1" t="str">
        <f t="array" ref="D97">_xlfn.XLOOKUP(C97,Master_Pelanggan!A:A,Master_Pelanggan!B:B)</f>
        <v>Muhammad Rahayu</v>
      </c>
      <c r="E97" s="1" t="str">
        <f t="array" ref="E97">_xlfn.XLOOKUP(C97,Master_Pelanggan!A:A,Master_Pelanggan!D:D)</f>
        <v>Reguler</v>
      </c>
      <c r="F97" s="1" t="s">
        <v>17</v>
      </c>
      <c r="G97" s="1" t="s">
        <v>159</v>
      </c>
      <c r="H97" s="1">
        <v>1352.0</v>
      </c>
      <c r="I97" s="5" t="s">
        <v>227</v>
      </c>
      <c r="J97" s="1">
        <v>261.0</v>
      </c>
      <c r="K97" s="1" t="s">
        <v>18</v>
      </c>
    </row>
    <row r="98">
      <c r="A98" s="1" t="s">
        <v>113</v>
      </c>
      <c r="B98" s="2">
        <v>46030.0</v>
      </c>
      <c r="C98" s="1" t="s">
        <v>114</v>
      </c>
      <c r="D98" s="1" t="str">
        <f t="array" ref="D98">_xlfn.XLOOKUP(C98,Master_Pelanggan!A:A,Master_Pelanggan!B:B)</f>
        <v>Sri Nugroho</v>
      </c>
      <c r="E98" s="1" t="str">
        <f t="array" ref="E98">_xlfn.XLOOKUP(C98,Master_Pelanggan!A:A,Master_Pelanggan!D:D)</f>
        <v>Reguler</v>
      </c>
      <c r="F98" s="1" t="s">
        <v>17</v>
      </c>
      <c r="G98" s="1" t="s">
        <v>159</v>
      </c>
      <c r="H98" s="1">
        <v>1352.0</v>
      </c>
      <c r="I98" s="1" t="s">
        <v>23</v>
      </c>
      <c r="J98" s="1">
        <v>265.0</v>
      </c>
      <c r="K98" s="1" t="s">
        <v>46</v>
      </c>
    </row>
    <row r="99">
      <c r="A99" s="1" t="s">
        <v>157</v>
      </c>
      <c r="B99" s="2">
        <v>46255.0</v>
      </c>
      <c r="C99" s="1" t="s">
        <v>158</v>
      </c>
      <c r="D99" s="1" t="str">
        <f t="array" ref="D99">_xlfn.XLOOKUP(C99,Master_Pelanggan!A:A,Master_Pelanggan!B:B)</f>
        <v>Andi Wahyuni</v>
      </c>
      <c r="E99" s="1" t="str">
        <f t="array" ref="E99">_xlfn.XLOOKUP(C99,Master_Pelanggan!A:A,Master_Pelanggan!D:D)</f>
        <v>Subsidi</v>
      </c>
      <c r="F99" s="1" t="s">
        <v>30</v>
      </c>
      <c r="G99" s="1" t="s">
        <v>266</v>
      </c>
      <c r="H99" s="1">
        <v>415.0</v>
      </c>
      <c r="I99" s="1" t="s">
        <v>27</v>
      </c>
      <c r="J99" s="1">
        <v>267.0</v>
      </c>
      <c r="K99" s="1" t="s">
        <v>46</v>
      </c>
    </row>
    <row r="100">
      <c r="A100" s="1" t="s">
        <v>213</v>
      </c>
      <c r="B100" s="2">
        <v>46264.0</v>
      </c>
      <c r="C100" s="1" t="s">
        <v>214</v>
      </c>
      <c r="D100" s="1" t="str">
        <f t="array" ref="D100">_xlfn.XLOOKUP(C100,Master_Pelanggan!A:A,Master_Pelanggan!B:B)</f>
        <v>Yuni Sari</v>
      </c>
      <c r="E100" s="1" t="str">
        <f t="array" ref="E100">_xlfn.XLOOKUP(C100,Master_Pelanggan!A:A,Master_Pelanggan!D:D)</f>
        <v>Prioritas</v>
      </c>
      <c r="F100" s="1" t="s">
        <v>17</v>
      </c>
      <c r="G100" s="1" t="s">
        <v>159</v>
      </c>
      <c r="H100" s="1">
        <v>1352.0</v>
      </c>
      <c r="I100" s="1" t="s">
        <v>27</v>
      </c>
      <c r="J100" s="1">
        <v>270.0</v>
      </c>
      <c r="K100" s="1" t="s">
        <v>46</v>
      </c>
    </row>
    <row r="101">
      <c r="A101" s="1" t="s">
        <v>245</v>
      </c>
      <c r="B101" s="2">
        <v>46259.0</v>
      </c>
      <c r="C101" s="1" t="s">
        <v>247</v>
      </c>
      <c r="D101" s="1" t="str">
        <f t="array" ref="D101">_xlfn.XLOOKUP(C101,Master_Pelanggan!A:A,Master_Pelanggan!B:B)</f>
        <v>Tri Sinaga</v>
      </c>
      <c r="E101" s="1" t="str">
        <f t="array" ref="E101">_xlfn.XLOOKUP(C101,Master_Pelanggan!A:A,Master_Pelanggan!D:D)</f>
        <v>Reguler</v>
      </c>
      <c r="F101" s="1" t="s">
        <v>17</v>
      </c>
      <c r="G101" s="1" t="s">
        <v>159</v>
      </c>
      <c r="H101" s="1">
        <v>1352.0</v>
      </c>
      <c r="I101" s="1" t="s">
        <v>27</v>
      </c>
      <c r="J101" s="1">
        <v>270.0</v>
      </c>
      <c r="K101" s="1" t="s">
        <v>18</v>
      </c>
    </row>
    <row r="102">
      <c r="A102" s="1" t="s">
        <v>249</v>
      </c>
      <c r="B102" s="2">
        <v>46263.0</v>
      </c>
      <c r="C102" s="1" t="s">
        <v>251</v>
      </c>
      <c r="D102" s="1" t="str">
        <f t="array" ref="D102">_xlfn.XLOOKUP(C102,Master_Pelanggan!A:A,Master_Pelanggan!B:B)</f>
        <v>Ahmad Wahyuni</v>
      </c>
      <c r="E102" s="1" t="str">
        <f t="array" ref="E102">_xlfn.XLOOKUP(C102,Master_Pelanggan!A:A,Master_Pelanggan!D:D)</f>
        <v>Reguler</v>
      </c>
      <c r="F102" s="1" t="s">
        <v>51</v>
      </c>
      <c r="G102" s="1" t="s">
        <v>139</v>
      </c>
      <c r="H102" s="1">
        <v>633.0</v>
      </c>
      <c r="I102" s="1" t="s">
        <v>19</v>
      </c>
      <c r="J102" s="1">
        <v>270.0</v>
      </c>
      <c r="K102" s="1" t="s">
        <v>46</v>
      </c>
    </row>
    <row r="103">
      <c r="A103" s="1" t="s">
        <v>166</v>
      </c>
      <c r="B103" s="2">
        <v>46120.0</v>
      </c>
      <c r="C103" s="1" t="s">
        <v>167</v>
      </c>
      <c r="D103" s="1" t="str">
        <f t="array" ref="D103">_xlfn.XLOOKUP(C103,Master_Pelanggan!A:A,Master_Pelanggan!B:B)</f>
        <v>Nur Rahayu</v>
      </c>
      <c r="E103" s="1" t="str">
        <f t="array" ref="E103">_xlfn.XLOOKUP(C103,Master_Pelanggan!A:A,Master_Pelanggan!D:D)</f>
        <v>Reguler</v>
      </c>
      <c r="F103" s="1" t="s">
        <v>15</v>
      </c>
      <c r="G103" s="1" t="s">
        <v>177</v>
      </c>
      <c r="H103" s="1">
        <v>535.0</v>
      </c>
      <c r="I103" s="5" t="s">
        <v>227</v>
      </c>
      <c r="J103" s="1">
        <v>272.0</v>
      </c>
      <c r="K103" s="1" t="s">
        <v>18</v>
      </c>
    </row>
    <row r="104">
      <c r="A104" s="1" t="s">
        <v>175</v>
      </c>
      <c r="B104" s="2">
        <v>46250.0</v>
      </c>
      <c r="C104" s="1" t="s">
        <v>176</v>
      </c>
      <c r="D104" s="1" t="str">
        <f t="array" ref="D104">_xlfn.XLOOKUP(C104,Master_Pelanggan!A:A,Master_Pelanggan!B:B)</f>
        <v>Ari Saputra</v>
      </c>
      <c r="E104" s="1" t="str">
        <f t="array" ref="E104">_xlfn.XLOOKUP(C104,Master_Pelanggan!A:A,Master_Pelanggan!D:D)</f>
        <v>Reguler</v>
      </c>
      <c r="F104" s="1" t="s">
        <v>15</v>
      </c>
      <c r="G104" s="1" t="s">
        <v>177</v>
      </c>
      <c r="H104" s="1">
        <v>535.0</v>
      </c>
      <c r="I104" s="1" t="s">
        <v>23</v>
      </c>
      <c r="J104" s="1">
        <v>276.0</v>
      </c>
      <c r="K104" s="1" t="s">
        <v>18</v>
      </c>
    </row>
    <row r="105">
      <c r="A105" s="1" t="s">
        <v>164</v>
      </c>
      <c r="B105" s="2">
        <v>46211.0</v>
      </c>
      <c r="C105" s="1" t="s">
        <v>165</v>
      </c>
      <c r="D105" s="1" t="str">
        <f t="array" ref="D105">_xlfn.XLOOKUP(C105,Master_Pelanggan!A:A,Master_Pelanggan!B:B)</f>
        <v>Nur Santoso</v>
      </c>
      <c r="E105" s="1" t="str">
        <f t="array" ref="E105">_xlfn.XLOOKUP(C105,Master_Pelanggan!A:A,Master_Pelanggan!D:D)</f>
        <v>Prioritas</v>
      </c>
      <c r="F105" s="1" t="s">
        <v>17</v>
      </c>
      <c r="G105" s="1" t="s">
        <v>159</v>
      </c>
      <c r="H105" s="1">
        <v>1352.0</v>
      </c>
      <c r="I105" s="1" t="s">
        <v>55</v>
      </c>
      <c r="J105" s="1">
        <v>278.0</v>
      </c>
      <c r="K105" s="1" t="s">
        <v>46</v>
      </c>
    </row>
    <row r="106">
      <c r="A106" s="1" t="s">
        <v>232</v>
      </c>
      <c r="B106" s="2">
        <v>46364.0</v>
      </c>
      <c r="C106" s="1" t="s">
        <v>234</v>
      </c>
      <c r="D106" s="1" t="str">
        <f t="array" ref="D106">_xlfn.XLOOKUP(C106,Master_Pelanggan!A:A,Master_Pelanggan!B:B)</f>
        <v>Rizky Gunawan</v>
      </c>
      <c r="E106" s="1" t="str">
        <f t="array" ref="E106">_xlfn.XLOOKUP(C106,Master_Pelanggan!A:A,Master_Pelanggan!D:D)</f>
        <v>Prioritas</v>
      </c>
      <c r="F106" s="1" t="s">
        <v>51</v>
      </c>
      <c r="G106" s="1" t="s">
        <v>139</v>
      </c>
      <c r="H106" s="1">
        <v>633.0</v>
      </c>
      <c r="I106" s="5" t="s">
        <v>55</v>
      </c>
      <c r="J106" s="1">
        <v>282.0</v>
      </c>
      <c r="K106" s="1" t="s">
        <v>18</v>
      </c>
    </row>
    <row r="107">
      <c r="A107" s="1" t="s">
        <v>140</v>
      </c>
      <c r="B107" s="2">
        <v>46030.0</v>
      </c>
      <c r="C107" s="1" t="s">
        <v>141</v>
      </c>
      <c r="D107" s="1" t="str">
        <f t="array" ref="D107">_xlfn.XLOOKUP(C107,Master_Pelanggan!A:A,Master_Pelanggan!B:B)</f>
        <v>Yuni Lestari</v>
      </c>
      <c r="E107" s="1" t="str">
        <f t="array" ref="E107">_xlfn.XLOOKUP(C107,Master_Pelanggan!A:A,Master_Pelanggan!D:D)</f>
        <v>Reguler</v>
      </c>
      <c r="F107" s="1" t="s">
        <v>38</v>
      </c>
      <c r="G107" s="1" t="s">
        <v>210</v>
      </c>
      <c r="H107" s="1">
        <v>966.0</v>
      </c>
      <c r="I107" s="5" t="s">
        <v>19</v>
      </c>
      <c r="J107" s="1">
        <v>284.0</v>
      </c>
      <c r="K107" s="1" t="s">
        <v>18</v>
      </c>
    </row>
    <row r="108">
      <c r="A108" s="1" t="s">
        <v>228</v>
      </c>
      <c r="B108" s="2">
        <v>46265.0</v>
      </c>
      <c r="C108" s="1" t="s">
        <v>78</v>
      </c>
      <c r="D108" s="1" t="str">
        <f t="array" ref="D108">_xlfn.XLOOKUP(C108,Master_Pelanggan!A:A,Master_Pelanggan!B:B)</f>
        <v>Agus Wahyuni</v>
      </c>
      <c r="E108" s="1" t="str">
        <f t="array" ref="E108">_xlfn.XLOOKUP(C108,Master_Pelanggan!A:A,Master_Pelanggan!D:D)</f>
        <v>Subsidi</v>
      </c>
      <c r="F108" s="1" t="s">
        <v>38</v>
      </c>
      <c r="G108" s="1" t="s">
        <v>210</v>
      </c>
      <c r="H108" s="1">
        <v>966.0</v>
      </c>
      <c r="I108" s="5" t="s">
        <v>23</v>
      </c>
      <c r="J108" s="1">
        <v>313.0</v>
      </c>
      <c r="K108" s="1" t="s">
        <v>18</v>
      </c>
    </row>
    <row r="109">
      <c r="A109" s="1" t="s">
        <v>76</v>
      </c>
      <c r="B109" s="2">
        <v>46264.0</v>
      </c>
      <c r="C109" s="1" t="s">
        <v>78</v>
      </c>
      <c r="D109" s="1" t="str">
        <f t="array" ref="D109">_xlfn.XLOOKUP(C109,Master_Pelanggan!A:A,Master_Pelanggan!B:B)</f>
        <v>Agus Wahyuni</v>
      </c>
      <c r="E109" s="1" t="str">
        <f t="array" ref="E109">_xlfn.XLOOKUP(C109,Master_Pelanggan!A:A,Master_Pelanggan!D:D)</f>
        <v>Subsidi</v>
      </c>
      <c r="F109" s="1" t="s">
        <v>30</v>
      </c>
      <c r="G109" s="1" t="s">
        <v>266</v>
      </c>
      <c r="H109" s="1">
        <v>415.0</v>
      </c>
      <c r="I109" s="5" t="s">
        <v>27</v>
      </c>
      <c r="J109" s="1">
        <v>317.0</v>
      </c>
      <c r="K109" s="1" t="s">
        <v>18</v>
      </c>
    </row>
    <row r="110">
      <c r="A110" s="1" t="s">
        <v>28</v>
      </c>
      <c r="B110" s="2">
        <v>46258.0</v>
      </c>
      <c r="C110" s="1" t="s">
        <v>29</v>
      </c>
      <c r="D110" s="1" t="str">
        <f t="array" ref="D110">_xlfn.XLOOKUP(C110,Master_Pelanggan!A:A,Master_Pelanggan!B:B)</f>
        <v>Maya Saputra</v>
      </c>
      <c r="E110" s="1" t="str">
        <f t="array" ref="E110">_xlfn.XLOOKUP(C110,Master_Pelanggan!A:A,Master_Pelanggan!D:D)</f>
        <v>Subsidi</v>
      </c>
      <c r="F110" s="1" t="s">
        <v>30</v>
      </c>
      <c r="G110" s="1" t="s">
        <v>266</v>
      </c>
      <c r="H110" s="1">
        <v>415.0</v>
      </c>
      <c r="I110" s="5" t="s">
        <v>23</v>
      </c>
      <c r="J110" s="1">
        <v>321.0</v>
      </c>
      <c r="K110" s="1" t="s">
        <v>18</v>
      </c>
    </row>
    <row r="111">
      <c r="A111" s="1" t="s">
        <v>208</v>
      </c>
      <c r="B111" s="2">
        <v>46303.0</v>
      </c>
      <c r="C111" s="1" t="s">
        <v>209</v>
      </c>
      <c r="D111" s="1" t="str">
        <f t="array" ref="D111">_xlfn.XLOOKUP(C111,Master_Pelanggan!A:A,Master_Pelanggan!B:B)</f>
        <v>Budi Hidayat</v>
      </c>
      <c r="E111" s="1" t="str">
        <f t="array" ref="E111">_xlfn.XLOOKUP(C111,Master_Pelanggan!A:A,Master_Pelanggan!D:D)</f>
        <v>Reguler</v>
      </c>
      <c r="F111" s="1" t="s">
        <v>30</v>
      </c>
      <c r="G111" s="1" t="s">
        <v>266</v>
      </c>
      <c r="H111" s="1">
        <v>415.0</v>
      </c>
      <c r="I111" s="5" t="s">
        <v>27</v>
      </c>
      <c r="J111" s="1">
        <v>322.0</v>
      </c>
      <c r="K111" s="1" t="s">
        <v>18</v>
      </c>
    </row>
    <row r="112">
      <c r="A112" s="1" t="s">
        <v>215</v>
      </c>
      <c r="B112" s="2">
        <v>46273.0</v>
      </c>
      <c r="C112" s="1" t="s">
        <v>169</v>
      </c>
      <c r="D112" s="1" t="str">
        <f t="array" ref="D112">_xlfn.XLOOKUP(C112,Master_Pelanggan!A:A,Master_Pelanggan!B:B)</f>
        <v>Rudi Suharto</v>
      </c>
      <c r="E112" s="1" t="str">
        <f t="array" ref="E112">_xlfn.XLOOKUP(C112,Master_Pelanggan!A:A,Master_Pelanggan!D:D)</f>
        <v>Reguler</v>
      </c>
      <c r="F112" s="1" t="s">
        <v>33</v>
      </c>
      <c r="G112" s="1" t="s">
        <v>150</v>
      </c>
      <c r="H112" s="1">
        <v>1444.0</v>
      </c>
      <c r="I112" s="5" t="s">
        <v>23</v>
      </c>
      <c r="J112" s="1">
        <v>323.0</v>
      </c>
      <c r="K112" s="1" t="s">
        <v>46</v>
      </c>
    </row>
    <row r="113">
      <c r="A113" s="1" t="s">
        <v>217</v>
      </c>
      <c r="B113" s="2">
        <v>46265.0</v>
      </c>
      <c r="C113" s="1" t="s">
        <v>73</v>
      </c>
      <c r="D113" s="1" t="str">
        <f t="array" ref="D113">_xlfn.XLOOKUP(C113,Master_Pelanggan!A:A,Master_Pelanggan!B:B)</f>
        <v>Nina Syahputra</v>
      </c>
      <c r="E113" s="1" t="str">
        <f t="array" ref="E113">_xlfn.XLOOKUP(C113,Master_Pelanggan!A:A,Master_Pelanggan!D:D)</f>
        <v>Reguler</v>
      </c>
      <c r="F113" s="1" t="s">
        <v>15</v>
      </c>
      <c r="G113" s="1" t="s">
        <v>177</v>
      </c>
      <c r="H113" s="1">
        <v>535.0</v>
      </c>
      <c r="I113" s="5" t="s">
        <v>35</v>
      </c>
      <c r="J113" s="1">
        <v>325.0</v>
      </c>
      <c r="K113" s="1" t="s">
        <v>46</v>
      </c>
    </row>
    <row r="114">
      <c r="A114" s="1" t="s">
        <v>39</v>
      </c>
      <c r="B114" s="2">
        <v>46242.0</v>
      </c>
      <c r="C114" s="1" t="s">
        <v>40</v>
      </c>
      <c r="D114" s="1" t="str">
        <f t="array" ref="D114">_xlfn.XLOOKUP(C114,Master_Pelanggan!A:A,Master_Pelanggan!B:B)</f>
        <v>Dwi Santoso</v>
      </c>
      <c r="E114" s="1" t="str">
        <f t="array" ref="E114">_xlfn.XLOOKUP(C114,Master_Pelanggan!A:A,Master_Pelanggan!D:D)</f>
        <v>Prioritas</v>
      </c>
      <c r="F114" s="1" t="s">
        <v>15</v>
      </c>
      <c r="G114" s="1" t="s">
        <v>177</v>
      </c>
      <c r="H114" s="1">
        <v>535.0</v>
      </c>
      <c r="I114" s="5" t="s">
        <v>23</v>
      </c>
      <c r="J114" s="1">
        <v>326.0</v>
      </c>
      <c r="K114" s="1" t="s">
        <v>18</v>
      </c>
    </row>
    <row r="115">
      <c r="A115" s="1" t="s">
        <v>187</v>
      </c>
      <c r="B115" s="2">
        <v>46254.0</v>
      </c>
      <c r="C115" s="1" t="s">
        <v>188</v>
      </c>
      <c r="D115" s="1" t="str">
        <f t="array" ref="D115">_xlfn.XLOOKUP(C115,Master_Pelanggan!A:A,Master_Pelanggan!B:B)</f>
        <v>Dwi Pratama</v>
      </c>
      <c r="E115" s="1" t="str">
        <f t="array" ref="E115">_xlfn.XLOOKUP(C115,Master_Pelanggan!A:A,Master_Pelanggan!D:D)</f>
        <v>Reguler</v>
      </c>
      <c r="F115" s="1" t="s">
        <v>15</v>
      </c>
      <c r="G115" s="1" t="s">
        <v>177</v>
      </c>
      <c r="H115" s="1">
        <v>535.0</v>
      </c>
      <c r="I115" s="5" t="s">
        <v>35</v>
      </c>
      <c r="J115" s="1">
        <v>326.0</v>
      </c>
      <c r="K115" s="1" t="s">
        <v>46</v>
      </c>
    </row>
    <row r="116">
      <c r="A116" s="1" t="s">
        <v>108</v>
      </c>
      <c r="B116" s="2">
        <v>46248.0</v>
      </c>
      <c r="C116" s="1" t="s">
        <v>110</v>
      </c>
      <c r="D116" s="1" t="str">
        <f t="array" ref="D116">_xlfn.XLOOKUP(C116,Master_Pelanggan!A:A,Master_Pelanggan!B:B)</f>
        <v>Ari Setiawan</v>
      </c>
      <c r="E116" s="1" t="str">
        <f t="array" ref="E116">_xlfn.XLOOKUP(C116,Master_Pelanggan!A:A,Master_Pelanggan!D:D)</f>
        <v>Reguler</v>
      </c>
      <c r="F116" s="1" t="s">
        <v>51</v>
      </c>
      <c r="G116" s="1" t="s">
        <v>139</v>
      </c>
      <c r="H116" s="1">
        <v>633.0</v>
      </c>
      <c r="I116" s="5" t="s">
        <v>23</v>
      </c>
      <c r="J116" s="1">
        <v>345.0</v>
      </c>
      <c r="K116" s="1" t="s">
        <v>18</v>
      </c>
    </row>
    <row r="117">
      <c r="A117" s="1" t="s">
        <v>103</v>
      </c>
      <c r="B117" s="2">
        <v>46257.0</v>
      </c>
      <c r="C117" s="1" t="s">
        <v>104</v>
      </c>
      <c r="D117" s="1" t="str">
        <f t="array" ref="D117">_xlfn.XLOOKUP(C117,Master_Pelanggan!A:A,Master_Pelanggan!B:B)</f>
        <v>Dewi Sari</v>
      </c>
      <c r="E117" s="1" t="str">
        <f t="array" ref="E117">_xlfn.XLOOKUP(C117,Master_Pelanggan!A:A,Master_Pelanggan!D:D)</f>
        <v>Reguler</v>
      </c>
      <c r="F117" s="1" t="s">
        <v>51</v>
      </c>
      <c r="G117" s="1" t="s">
        <v>139</v>
      </c>
      <c r="H117" s="1">
        <v>633.0</v>
      </c>
      <c r="I117" s="5" t="s">
        <v>23</v>
      </c>
      <c r="J117" s="1">
        <v>348.0</v>
      </c>
      <c r="K117" s="1" t="s">
        <v>18</v>
      </c>
    </row>
    <row r="118">
      <c r="A118" s="1" t="s">
        <v>95</v>
      </c>
      <c r="B118" s="2">
        <v>46261.0</v>
      </c>
      <c r="C118" s="1" t="s">
        <v>96</v>
      </c>
      <c r="D118" s="1" t="str">
        <f t="array" ref="D118">_xlfn.XLOOKUP(C118,Master_Pelanggan!A:A,Master_Pelanggan!B:B)</f>
        <v>Dwi Nugroho</v>
      </c>
      <c r="E118" s="1" t="str">
        <f t="array" ref="E118">_xlfn.XLOOKUP(C118,Master_Pelanggan!A:A,Master_Pelanggan!D:D)</f>
        <v>Prioritas</v>
      </c>
      <c r="F118" s="1" t="s">
        <v>30</v>
      </c>
      <c r="G118" s="1" t="s">
        <v>266</v>
      </c>
      <c r="H118" s="1">
        <v>415.0</v>
      </c>
      <c r="I118" s="5" t="s">
        <v>19</v>
      </c>
      <c r="J118" s="1">
        <v>352.0</v>
      </c>
      <c r="K118" s="1" t="s">
        <v>18</v>
      </c>
    </row>
    <row r="119">
      <c r="A119" s="1" t="s">
        <v>74</v>
      </c>
      <c r="B119" s="2">
        <v>46262.0</v>
      </c>
      <c r="C119" s="1" t="s">
        <v>75</v>
      </c>
      <c r="D119" s="1" t="str">
        <f t="array" ref="D119">_xlfn.XLOOKUP(C119,Master_Pelanggan!A:A,Master_Pelanggan!B:B)</f>
        <v>Tri Wibowo</v>
      </c>
      <c r="E119" s="1" t="str">
        <f t="array" ref="E119">_xlfn.XLOOKUP(C119,Master_Pelanggan!A:A,Master_Pelanggan!D:D)</f>
        <v>Subsidi</v>
      </c>
      <c r="F119" s="1" t="s">
        <v>15</v>
      </c>
      <c r="G119" s="1" t="s">
        <v>177</v>
      </c>
      <c r="H119" s="1">
        <v>535.0</v>
      </c>
      <c r="I119" s="5" t="s">
        <v>27</v>
      </c>
      <c r="J119" s="1">
        <v>355.0</v>
      </c>
      <c r="K119" s="1" t="s">
        <v>18</v>
      </c>
    </row>
    <row r="120">
      <c r="A120" s="1" t="s">
        <v>65</v>
      </c>
      <c r="B120" s="2">
        <v>46253.0</v>
      </c>
      <c r="C120" s="1" t="s">
        <v>66</v>
      </c>
      <c r="D120" s="1" t="str">
        <f t="array" ref="D120">_xlfn.XLOOKUP(C120,Master_Pelanggan!A:A,Master_Pelanggan!B:B)</f>
        <v>Ayu Wahyuni</v>
      </c>
      <c r="E120" s="1" t="str">
        <f t="array" ref="E120">_xlfn.XLOOKUP(C120,Master_Pelanggan!A:A,Master_Pelanggan!D:D)</f>
        <v>Reguler</v>
      </c>
      <c r="F120" s="1" t="s">
        <v>17</v>
      </c>
      <c r="G120" s="1" t="s">
        <v>159</v>
      </c>
      <c r="H120" s="1">
        <v>1352.0</v>
      </c>
      <c r="I120" s="5" t="s">
        <v>19</v>
      </c>
      <c r="J120" s="1">
        <v>356.0</v>
      </c>
      <c r="K120" s="1" t="s">
        <v>18</v>
      </c>
    </row>
    <row r="121">
      <c r="A121" s="1" t="s">
        <v>48</v>
      </c>
      <c r="B121" s="2">
        <v>46061.0</v>
      </c>
      <c r="C121" s="1" t="s">
        <v>50</v>
      </c>
      <c r="D121" s="1" t="str">
        <f t="array" ref="D121">_xlfn.XLOOKUP(C121,Master_Pelanggan!A:A,Master_Pelanggan!B:B)</f>
        <v>Indah Santoso</v>
      </c>
      <c r="E121" s="1" t="str">
        <f t="array" ref="E121">_xlfn.XLOOKUP(C121,Master_Pelanggan!A:A,Master_Pelanggan!D:D)</f>
        <v>Reguler</v>
      </c>
      <c r="F121" s="1" t="s">
        <v>51</v>
      </c>
      <c r="G121" s="1" t="s">
        <v>139</v>
      </c>
      <c r="H121" s="1">
        <v>633.0</v>
      </c>
      <c r="I121" s="1" t="s">
        <v>23</v>
      </c>
      <c r="J121" s="1">
        <v>385.0</v>
      </c>
      <c r="K121" s="1" t="s">
        <v>18</v>
      </c>
    </row>
    <row r="122">
      <c r="G122" s="4" t="s">
        <v>362</v>
      </c>
      <c r="H122" s="4" t="s">
        <v>362</v>
      </c>
    </row>
    <row r="123">
      <c r="G123" s="4" t="s">
        <v>362</v>
      </c>
      <c r="H123" s="4" t="s">
        <v>362</v>
      </c>
    </row>
    <row r="124">
      <c r="G124" s="4" t="s">
        <v>362</v>
      </c>
      <c r="H124" s="4" t="s">
        <v>362</v>
      </c>
    </row>
    <row r="125">
      <c r="G125" s="4" t="s">
        <v>362</v>
      </c>
      <c r="H125" s="4" t="s">
        <v>362</v>
      </c>
    </row>
    <row r="126">
      <c r="G126" s="4" t="s">
        <v>362</v>
      </c>
      <c r="H126" s="4" t="s">
        <v>362</v>
      </c>
    </row>
    <row r="127">
      <c r="G127" s="4" t="s">
        <v>362</v>
      </c>
      <c r="H127" s="4" t="s">
        <v>362</v>
      </c>
    </row>
    <row r="128">
      <c r="G128" s="4" t="s">
        <v>362</v>
      </c>
      <c r="H128" s="4" t="s">
        <v>362</v>
      </c>
    </row>
    <row r="129">
      <c r="G129" s="4" t="s">
        <v>362</v>
      </c>
      <c r="H129" s="4" t="s">
        <v>362</v>
      </c>
    </row>
    <row r="130">
      <c r="G130" s="4" t="s">
        <v>362</v>
      </c>
      <c r="H130" s="4" t="s">
        <v>362</v>
      </c>
    </row>
    <row r="131">
      <c r="G131" s="4" t="s">
        <v>362</v>
      </c>
      <c r="H131" s="4" t="s">
        <v>362</v>
      </c>
    </row>
    <row r="132">
      <c r="G132" s="4" t="s">
        <v>362</v>
      </c>
      <c r="H132" s="4" t="s">
        <v>362</v>
      </c>
    </row>
    <row r="133">
      <c r="G133" s="4" t="s">
        <v>362</v>
      </c>
      <c r="H133" s="4" t="s">
        <v>362</v>
      </c>
    </row>
    <row r="134">
      <c r="G134" s="4" t="s">
        <v>362</v>
      </c>
      <c r="H134" s="4" t="s">
        <v>362</v>
      </c>
    </row>
    <row r="135">
      <c r="G135" s="4" t="s">
        <v>362</v>
      </c>
      <c r="H135" s="4" t="s">
        <v>362</v>
      </c>
    </row>
    <row r="136">
      <c r="G136" s="4" t="s">
        <v>362</v>
      </c>
      <c r="H136" s="4" t="s">
        <v>362</v>
      </c>
    </row>
    <row r="137">
      <c r="G137" s="4" t="s">
        <v>362</v>
      </c>
      <c r="H137" s="4" t="s">
        <v>362</v>
      </c>
    </row>
    <row r="138">
      <c r="G138" s="4" t="s">
        <v>362</v>
      </c>
      <c r="H138" s="4" t="s">
        <v>362</v>
      </c>
    </row>
    <row r="139">
      <c r="G139" s="4" t="s">
        <v>362</v>
      </c>
      <c r="H139" s="4" t="s">
        <v>362</v>
      </c>
    </row>
    <row r="140">
      <c r="G140" s="4" t="s">
        <v>362</v>
      </c>
      <c r="H140" s="4" t="s">
        <v>362</v>
      </c>
    </row>
    <row r="141">
      <c r="G141" s="4" t="s">
        <v>362</v>
      </c>
      <c r="H141" s="4" t="s">
        <v>362</v>
      </c>
    </row>
    <row r="142">
      <c r="G142" s="4" t="s">
        <v>362</v>
      </c>
      <c r="H142" s="4" t="s">
        <v>362</v>
      </c>
    </row>
    <row r="143">
      <c r="G143" s="4" t="s">
        <v>362</v>
      </c>
      <c r="H143" s="4" t="s">
        <v>362</v>
      </c>
    </row>
    <row r="144">
      <c r="G144" s="4" t="s">
        <v>362</v>
      </c>
      <c r="H144" s="4" t="s">
        <v>362</v>
      </c>
    </row>
    <row r="145">
      <c r="G145" s="4" t="s">
        <v>362</v>
      </c>
      <c r="H145" s="4" t="s">
        <v>362</v>
      </c>
    </row>
    <row r="146">
      <c r="G146" s="4" t="s">
        <v>362</v>
      </c>
      <c r="H146" s="4" t="s">
        <v>362</v>
      </c>
    </row>
    <row r="147">
      <c r="G147" s="4" t="s">
        <v>362</v>
      </c>
      <c r="H147" s="4" t="s">
        <v>362</v>
      </c>
    </row>
    <row r="148">
      <c r="G148" s="4" t="s">
        <v>362</v>
      </c>
      <c r="H148" s="4" t="s">
        <v>362</v>
      </c>
    </row>
    <row r="149">
      <c r="G149" s="4" t="s">
        <v>362</v>
      </c>
      <c r="H149" s="4" t="s">
        <v>362</v>
      </c>
    </row>
    <row r="150">
      <c r="G150" s="4" t="s">
        <v>362</v>
      </c>
      <c r="H150" s="4" t="s">
        <v>362</v>
      </c>
    </row>
    <row r="151">
      <c r="G151" s="4" t="s">
        <v>362</v>
      </c>
      <c r="H151" s="4" t="s">
        <v>362</v>
      </c>
    </row>
    <row r="152">
      <c r="G152" s="4" t="s">
        <v>362</v>
      </c>
      <c r="H152" s="4" t="s">
        <v>362</v>
      </c>
    </row>
    <row r="153">
      <c r="G153" s="4" t="s">
        <v>362</v>
      </c>
      <c r="H153" s="4" t="s">
        <v>362</v>
      </c>
    </row>
    <row r="154">
      <c r="G154" s="4" t="s">
        <v>362</v>
      </c>
      <c r="H154" s="4" t="s">
        <v>362</v>
      </c>
    </row>
    <row r="155">
      <c r="G155" s="4" t="s">
        <v>362</v>
      </c>
      <c r="H155" s="4" t="s">
        <v>362</v>
      </c>
    </row>
    <row r="156">
      <c r="G156" s="4" t="s">
        <v>362</v>
      </c>
      <c r="H156" s="4" t="s">
        <v>362</v>
      </c>
    </row>
    <row r="157">
      <c r="G157" s="4" t="s">
        <v>362</v>
      </c>
      <c r="H157" s="4" t="s">
        <v>362</v>
      </c>
    </row>
    <row r="158">
      <c r="G158" s="4" t="s">
        <v>362</v>
      </c>
      <c r="H158" s="4" t="s">
        <v>362</v>
      </c>
    </row>
    <row r="159">
      <c r="G159" s="4" t="s">
        <v>362</v>
      </c>
      <c r="H159" s="4" t="s">
        <v>362</v>
      </c>
    </row>
    <row r="160">
      <c r="G160" s="4" t="s">
        <v>362</v>
      </c>
      <c r="H160" s="4" t="s">
        <v>362</v>
      </c>
    </row>
    <row r="161">
      <c r="G161" s="4" t="s">
        <v>362</v>
      </c>
      <c r="H161" s="4" t="s">
        <v>362</v>
      </c>
    </row>
    <row r="162">
      <c r="G162" s="4" t="s">
        <v>362</v>
      </c>
      <c r="H162" s="4" t="s">
        <v>362</v>
      </c>
    </row>
    <row r="163">
      <c r="G163" s="4" t="s">
        <v>362</v>
      </c>
      <c r="H163" s="4" t="s">
        <v>362</v>
      </c>
    </row>
    <row r="164">
      <c r="G164" s="4" t="s">
        <v>362</v>
      </c>
      <c r="H164" s="4" t="s">
        <v>362</v>
      </c>
    </row>
    <row r="165">
      <c r="G165" s="4" t="s">
        <v>362</v>
      </c>
      <c r="H165" s="4" t="s">
        <v>362</v>
      </c>
    </row>
    <row r="166">
      <c r="G166" s="4" t="s">
        <v>362</v>
      </c>
      <c r="H166" s="4" t="s">
        <v>362</v>
      </c>
    </row>
    <row r="167">
      <c r="G167" s="4" t="s">
        <v>362</v>
      </c>
      <c r="H167" s="4" t="s">
        <v>362</v>
      </c>
    </row>
    <row r="168">
      <c r="G168" s="4" t="s">
        <v>362</v>
      </c>
      <c r="H168" s="4" t="s">
        <v>362</v>
      </c>
    </row>
    <row r="169">
      <c r="G169" s="4" t="s">
        <v>362</v>
      </c>
      <c r="H169" s="4" t="s">
        <v>362</v>
      </c>
    </row>
    <row r="170">
      <c r="G170" s="4" t="s">
        <v>362</v>
      </c>
      <c r="H170" s="4" t="s">
        <v>362</v>
      </c>
    </row>
    <row r="171">
      <c r="G171" s="4" t="s">
        <v>362</v>
      </c>
      <c r="H171" s="4" t="s">
        <v>362</v>
      </c>
    </row>
    <row r="172">
      <c r="G172" s="4" t="s">
        <v>362</v>
      </c>
      <c r="H172" s="4" t="s">
        <v>362</v>
      </c>
    </row>
    <row r="173">
      <c r="G173" s="4" t="s">
        <v>362</v>
      </c>
      <c r="H173" s="4" t="s">
        <v>362</v>
      </c>
    </row>
    <row r="174">
      <c r="G174" s="4" t="s">
        <v>362</v>
      </c>
      <c r="H174" s="4" t="s">
        <v>362</v>
      </c>
    </row>
    <row r="175">
      <c r="G175" s="4" t="s">
        <v>362</v>
      </c>
      <c r="H175" s="4" t="s">
        <v>362</v>
      </c>
    </row>
    <row r="176">
      <c r="G176" s="4" t="s">
        <v>362</v>
      </c>
      <c r="H176" s="4" t="s">
        <v>362</v>
      </c>
    </row>
    <row r="177">
      <c r="G177" s="4" t="s">
        <v>362</v>
      </c>
      <c r="H177" s="4" t="s">
        <v>362</v>
      </c>
    </row>
    <row r="178">
      <c r="G178" s="4" t="s">
        <v>362</v>
      </c>
      <c r="H178" s="4" t="s">
        <v>362</v>
      </c>
    </row>
    <row r="179">
      <c r="G179" s="4" t="s">
        <v>362</v>
      </c>
      <c r="H179" s="4" t="s">
        <v>362</v>
      </c>
    </row>
    <row r="180">
      <c r="G180" s="4" t="s">
        <v>362</v>
      </c>
      <c r="H180" s="4" t="s">
        <v>362</v>
      </c>
    </row>
    <row r="181">
      <c r="G181" s="4" t="s">
        <v>362</v>
      </c>
      <c r="H181" s="4" t="s">
        <v>362</v>
      </c>
    </row>
    <row r="182">
      <c r="G182" s="4" t="s">
        <v>362</v>
      </c>
      <c r="H182" s="4" t="s">
        <v>362</v>
      </c>
    </row>
    <row r="183">
      <c r="G183" s="4" t="s">
        <v>362</v>
      </c>
      <c r="H183" s="4" t="s">
        <v>362</v>
      </c>
    </row>
    <row r="184">
      <c r="G184" s="4" t="s">
        <v>362</v>
      </c>
      <c r="H184" s="4" t="s">
        <v>362</v>
      </c>
    </row>
    <row r="185">
      <c r="G185" s="4" t="s">
        <v>362</v>
      </c>
      <c r="H185" s="4" t="s">
        <v>362</v>
      </c>
    </row>
    <row r="186">
      <c r="G186" s="4" t="s">
        <v>362</v>
      </c>
      <c r="H186" s="4" t="s">
        <v>362</v>
      </c>
    </row>
    <row r="187">
      <c r="G187" s="4" t="s">
        <v>362</v>
      </c>
      <c r="H187" s="4" t="s">
        <v>362</v>
      </c>
    </row>
    <row r="188">
      <c r="G188" s="4" t="s">
        <v>362</v>
      </c>
      <c r="H188" s="4" t="s">
        <v>362</v>
      </c>
    </row>
    <row r="189">
      <c r="G189" s="4" t="s">
        <v>362</v>
      </c>
      <c r="H189" s="4" t="s">
        <v>362</v>
      </c>
    </row>
    <row r="190">
      <c r="G190" s="4" t="s">
        <v>362</v>
      </c>
      <c r="H190" s="4" t="s">
        <v>362</v>
      </c>
    </row>
    <row r="191">
      <c r="G191" s="4" t="s">
        <v>362</v>
      </c>
      <c r="H191" s="4" t="s">
        <v>362</v>
      </c>
    </row>
    <row r="192">
      <c r="G192" s="4" t="s">
        <v>362</v>
      </c>
      <c r="H192" s="4" t="s">
        <v>362</v>
      </c>
    </row>
    <row r="193">
      <c r="G193" s="4" t="s">
        <v>362</v>
      </c>
      <c r="H193" s="4" t="s">
        <v>362</v>
      </c>
    </row>
    <row r="194">
      <c r="G194" s="4" t="s">
        <v>362</v>
      </c>
      <c r="H194" s="4" t="s">
        <v>362</v>
      </c>
    </row>
    <row r="195">
      <c r="G195" s="4" t="s">
        <v>362</v>
      </c>
      <c r="H195" s="4" t="s">
        <v>362</v>
      </c>
    </row>
    <row r="196">
      <c r="G196" s="4" t="s">
        <v>362</v>
      </c>
      <c r="H196" s="4" t="s">
        <v>362</v>
      </c>
    </row>
    <row r="197">
      <c r="G197" s="4" t="s">
        <v>362</v>
      </c>
      <c r="H197" s="4" t="s">
        <v>362</v>
      </c>
    </row>
    <row r="198">
      <c r="G198" s="4" t="s">
        <v>362</v>
      </c>
      <c r="H198" s="4" t="s">
        <v>362</v>
      </c>
    </row>
    <row r="199">
      <c r="G199" s="4" t="s">
        <v>362</v>
      </c>
      <c r="H199" s="4" t="s">
        <v>362</v>
      </c>
    </row>
    <row r="200">
      <c r="G200" s="4" t="s">
        <v>362</v>
      </c>
      <c r="H200" s="4" t="s">
        <v>362</v>
      </c>
    </row>
    <row r="201">
      <c r="G201" s="4" t="s">
        <v>362</v>
      </c>
      <c r="H201" s="4" t="s">
        <v>362</v>
      </c>
    </row>
    <row r="202">
      <c r="G202" s="4" t="s">
        <v>362</v>
      </c>
      <c r="H202" s="4" t="s">
        <v>362</v>
      </c>
    </row>
    <row r="203">
      <c r="G203" s="4" t="s">
        <v>362</v>
      </c>
      <c r="H203" s="4" t="s">
        <v>362</v>
      </c>
    </row>
    <row r="204">
      <c r="G204" s="4" t="s">
        <v>362</v>
      </c>
      <c r="H204" s="4" t="s">
        <v>362</v>
      </c>
    </row>
    <row r="205">
      <c r="G205" s="4" t="s">
        <v>362</v>
      </c>
      <c r="H205" s="4" t="s">
        <v>362</v>
      </c>
    </row>
    <row r="206">
      <c r="G206" s="4" t="s">
        <v>362</v>
      </c>
      <c r="H206" s="4" t="s">
        <v>362</v>
      </c>
    </row>
    <row r="207">
      <c r="G207" s="4" t="s">
        <v>362</v>
      </c>
      <c r="H207" s="4" t="s">
        <v>362</v>
      </c>
    </row>
    <row r="208">
      <c r="G208" s="4" t="s">
        <v>362</v>
      </c>
      <c r="H208" s="4" t="s">
        <v>362</v>
      </c>
    </row>
    <row r="209">
      <c r="G209" s="4" t="s">
        <v>362</v>
      </c>
      <c r="H209" s="4" t="s">
        <v>362</v>
      </c>
    </row>
    <row r="210">
      <c r="G210" s="4" t="s">
        <v>362</v>
      </c>
      <c r="H210" s="4" t="s">
        <v>362</v>
      </c>
    </row>
    <row r="211">
      <c r="G211" s="4" t="s">
        <v>362</v>
      </c>
      <c r="H211" s="4" t="s">
        <v>362</v>
      </c>
    </row>
    <row r="212">
      <c r="G212" s="4" t="s">
        <v>362</v>
      </c>
      <c r="H212" s="4" t="s">
        <v>362</v>
      </c>
    </row>
    <row r="213">
      <c r="G213" s="4" t="s">
        <v>362</v>
      </c>
      <c r="H213" s="4" t="s">
        <v>362</v>
      </c>
    </row>
    <row r="214">
      <c r="G214" s="4" t="s">
        <v>362</v>
      </c>
      <c r="H214" s="4" t="s">
        <v>362</v>
      </c>
    </row>
    <row r="215">
      <c r="G215" s="4" t="s">
        <v>362</v>
      </c>
      <c r="H215" s="4" t="s">
        <v>362</v>
      </c>
    </row>
    <row r="216">
      <c r="G216" s="4" t="s">
        <v>362</v>
      </c>
      <c r="H216" s="4" t="s">
        <v>362</v>
      </c>
    </row>
    <row r="217">
      <c r="G217" s="4" t="s">
        <v>362</v>
      </c>
      <c r="H217" s="4" t="s">
        <v>362</v>
      </c>
    </row>
    <row r="218">
      <c r="G218" s="4" t="s">
        <v>362</v>
      </c>
      <c r="H218" s="4" t="s">
        <v>362</v>
      </c>
    </row>
    <row r="219">
      <c r="G219" s="4" t="s">
        <v>362</v>
      </c>
      <c r="H219" s="4" t="s">
        <v>362</v>
      </c>
    </row>
    <row r="220">
      <c r="G220" s="4" t="s">
        <v>362</v>
      </c>
      <c r="H220" s="4" t="s">
        <v>362</v>
      </c>
    </row>
    <row r="221">
      <c r="G221" s="4" t="s">
        <v>362</v>
      </c>
      <c r="H221" s="4" t="s">
        <v>362</v>
      </c>
    </row>
    <row r="222">
      <c r="G222" s="4" t="s">
        <v>362</v>
      </c>
      <c r="H222" s="4" t="s">
        <v>362</v>
      </c>
    </row>
    <row r="223">
      <c r="G223" s="4" t="s">
        <v>362</v>
      </c>
      <c r="H223" s="4" t="s">
        <v>362</v>
      </c>
    </row>
    <row r="224">
      <c r="G224" s="4" t="s">
        <v>362</v>
      </c>
      <c r="H224" s="4" t="s">
        <v>362</v>
      </c>
    </row>
    <row r="225">
      <c r="G225" s="4" t="s">
        <v>362</v>
      </c>
      <c r="H225" s="4" t="s">
        <v>362</v>
      </c>
    </row>
    <row r="226">
      <c r="G226" s="4" t="s">
        <v>362</v>
      </c>
      <c r="H226" s="4" t="s">
        <v>362</v>
      </c>
    </row>
    <row r="227">
      <c r="G227" s="4" t="s">
        <v>362</v>
      </c>
      <c r="H227" s="4" t="s">
        <v>362</v>
      </c>
    </row>
    <row r="228">
      <c r="G228" s="4" t="s">
        <v>362</v>
      </c>
      <c r="H228" s="4" t="s">
        <v>362</v>
      </c>
    </row>
    <row r="229">
      <c r="G229" s="4" t="s">
        <v>362</v>
      </c>
      <c r="H229" s="4" t="s">
        <v>362</v>
      </c>
    </row>
    <row r="230">
      <c r="G230" s="4" t="s">
        <v>362</v>
      </c>
      <c r="H230" s="4" t="s">
        <v>362</v>
      </c>
    </row>
    <row r="231">
      <c r="G231" s="4" t="s">
        <v>362</v>
      </c>
      <c r="H231" s="4" t="s">
        <v>362</v>
      </c>
    </row>
    <row r="232">
      <c r="G232" s="4" t="s">
        <v>362</v>
      </c>
      <c r="H232" s="4" t="s">
        <v>362</v>
      </c>
    </row>
    <row r="233">
      <c r="G233" s="4" t="s">
        <v>362</v>
      </c>
      <c r="H233" s="4" t="s">
        <v>362</v>
      </c>
    </row>
    <row r="234">
      <c r="G234" s="4" t="s">
        <v>362</v>
      </c>
      <c r="H234" s="4" t="s">
        <v>362</v>
      </c>
    </row>
    <row r="235">
      <c r="G235" s="4" t="s">
        <v>362</v>
      </c>
      <c r="H235" s="4" t="s">
        <v>362</v>
      </c>
    </row>
    <row r="236">
      <c r="G236" s="4" t="s">
        <v>362</v>
      </c>
      <c r="H236" s="4" t="s">
        <v>362</v>
      </c>
    </row>
    <row r="237">
      <c r="G237" s="4" t="s">
        <v>362</v>
      </c>
      <c r="H237" s="4" t="s">
        <v>362</v>
      </c>
    </row>
    <row r="238">
      <c r="G238" s="4" t="s">
        <v>362</v>
      </c>
      <c r="H238" s="4" t="s">
        <v>362</v>
      </c>
    </row>
    <row r="239">
      <c r="G239" s="4" t="s">
        <v>362</v>
      </c>
      <c r="H239" s="4" t="s">
        <v>362</v>
      </c>
    </row>
    <row r="240">
      <c r="G240" s="4" t="s">
        <v>362</v>
      </c>
      <c r="H240" s="4" t="s">
        <v>362</v>
      </c>
    </row>
    <row r="241">
      <c r="G241" s="4" t="s">
        <v>362</v>
      </c>
      <c r="H241" s="4" t="s">
        <v>362</v>
      </c>
    </row>
    <row r="242">
      <c r="G242" s="4" t="s">
        <v>362</v>
      </c>
      <c r="H242" s="4" t="s">
        <v>362</v>
      </c>
    </row>
    <row r="243">
      <c r="G243" s="4" t="s">
        <v>362</v>
      </c>
      <c r="H243" s="4" t="s">
        <v>362</v>
      </c>
    </row>
    <row r="244">
      <c r="G244" s="4" t="s">
        <v>362</v>
      </c>
      <c r="H244" s="4" t="s">
        <v>362</v>
      </c>
    </row>
    <row r="245">
      <c r="G245" s="4" t="s">
        <v>362</v>
      </c>
      <c r="H245" s="4" t="s">
        <v>362</v>
      </c>
    </row>
    <row r="246">
      <c r="G246" s="4" t="s">
        <v>362</v>
      </c>
      <c r="H246" s="4" t="s">
        <v>362</v>
      </c>
    </row>
    <row r="247">
      <c r="G247" s="4" t="s">
        <v>362</v>
      </c>
      <c r="H247" s="4" t="s">
        <v>362</v>
      </c>
    </row>
    <row r="248">
      <c r="G248" s="4" t="s">
        <v>362</v>
      </c>
      <c r="H248" s="4" t="s">
        <v>362</v>
      </c>
    </row>
    <row r="249">
      <c r="G249" s="4" t="s">
        <v>362</v>
      </c>
      <c r="H249" s="4" t="s">
        <v>362</v>
      </c>
    </row>
    <row r="250">
      <c r="G250" s="4" t="s">
        <v>362</v>
      </c>
      <c r="H250" s="4" t="s">
        <v>362</v>
      </c>
    </row>
    <row r="251">
      <c r="G251" s="4" t="s">
        <v>362</v>
      </c>
      <c r="H251" s="4" t="s">
        <v>362</v>
      </c>
    </row>
    <row r="252">
      <c r="G252" s="4" t="s">
        <v>362</v>
      </c>
      <c r="H252" s="4" t="s">
        <v>362</v>
      </c>
    </row>
    <row r="253">
      <c r="G253" s="4" t="s">
        <v>362</v>
      </c>
      <c r="H253" s="4" t="s">
        <v>362</v>
      </c>
    </row>
    <row r="254">
      <c r="G254" s="4" t="s">
        <v>362</v>
      </c>
      <c r="H254" s="4" t="s">
        <v>362</v>
      </c>
    </row>
    <row r="255">
      <c r="G255" s="4" t="s">
        <v>362</v>
      </c>
      <c r="H255" s="4" t="s">
        <v>362</v>
      </c>
    </row>
    <row r="256">
      <c r="G256" s="4" t="s">
        <v>362</v>
      </c>
      <c r="H256" s="4" t="s">
        <v>362</v>
      </c>
    </row>
    <row r="257">
      <c r="G257" s="4" t="s">
        <v>362</v>
      </c>
      <c r="H257" s="4" t="s">
        <v>362</v>
      </c>
    </row>
    <row r="258">
      <c r="G258" s="4" t="s">
        <v>362</v>
      </c>
      <c r="H258" s="4" t="s">
        <v>362</v>
      </c>
    </row>
    <row r="259">
      <c r="G259" s="4" t="s">
        <v>362</v>
      </c>
      <c r="H259" s="4" t="s">
        <v>362</v>
      </c>
    </row>
    <row r="260">
      <c r="G260" s="4" t="s">
        <v>362</v>
      </c>
      <c r="H260" s="4" t="s">
        <v>362</v>
      </c>
    </row>
    <row r="261">
      <c r="G261" s="4" t="s">
        <v>362</v>
      </c>
      <c r="H261" s="4" t="s">
        <v>362</v>
      </c>
    </row>
    <row r="262">
      <c r="G262" s="4" t="s">
        <v>362</v>
      </c>
      <c r="H262" s="4" t="s">
        <v>362</v>
      </c>
    </row>
    <row r="263">
      <c r="G263" s="4" t="s">
        <v>362</v>
      </c>
      <c r="H263" s="4" t="s">
        <v>362</v>
      </c>
    </row>
    <row r="264">
      <c r="G264" s="4" t="s">
        <v>362</v>
      </c>
      <c r="H264" s="4" t="s">
        <v>362</v>
      </c>
    </row>
    <row r="265">
      <c r="G265" s="4" t="s">
        <v>362</v>
      </c>
      <c r="H265" s="4" t="s">
        <v>362</v>
      </c>
    </row>
    <row r="266">
      <c r="G266" s="4" t="s">
        <v>362</v>
      </c>
      <c r="H266" s="4" t="s">
        <v>362</v>
      </c>
    </row>
    <row r="267">
      <c r="G267" s="4" t="s">
        <v>362</v>
      </c>
      <c r="H267" s="4" t="s">
        <v>362</v>
      </c>
    </row>
    <row r="268">
      <c r="G268" s="4" t="s">
        <v>362</v>
      </c>
      <c r="H268" s="4" t="s">
        <v>362</v>
      </c>
    </row>
    <row r="269">
      <c r="G269" s="4" t="s">
        <v>362</v>
      </c>
      <c r="H269" s="4" t="s">
        <v>362</v>
      </c>
    </row>
    <row r="270">
      <c r="G270" s="4" t="s">
        <v>362</v>
      </c>
      <c r="H270" s="4" t="s">
        <v>362</v>
      </c>
    </row>
    <row r="271">
      <c r="G271" s="4" t="s">
        <v>362</v>
      </c>
      <c r="H271" s="4" t="s">
        <v>362</v>
      </c>
    </row>
    <row r="272">
      <c r="G272" s="4" t="s">
        <v>362</v>
      </c>
      <c r="H272" s="4" t="s">
        <v>362</v>
      </c>
    </row>
    <row r="273">
      <c r="G273" s="4" t="s">
        <v>362</v>
      </c>
      <c r="H273" s="4" t="s">
        <v>362</v>
      </c>
    </row>
    <row r="274">
      <c r="G274" s="4" t="s">
        <v>362</v>
      </c>
      <c r="H274" s="4" t="s">
        <v>362</v>
      </c>
    </row>
    <row r="275">
      <c r="G275" s="4" t="s">
        <v>362</v>
      </c>
      <c r="H275" s="4" t="s">
        <v>362</v>
      </c>
    </row>
    <row r="276">
      <c r="G276" s="4" t="s">
        <v>362</v>
      </c>
      <c r="H276" s="4" t="s">
        <v>362</v>
      </c>
    </row>
    <row r="277">
      <c r="G277" s="4" t="s">
        <v>362</v>
      </c>
      <c r="H277" s="4" t="s">
        <v>362</v>
      </c>
    </row>
    <row r="278">
      <c r="G278" s="4" t="s">
        <v>362</v>
      </c>
      <c r="H278" s="4" t="s">
        <v>362</v>
      </c>
    </row>
    <row r="279">
      <c r="G279" s="4" t="s">
        <v>362</v>
      </c>
      <c r="H279" s="4" t="s">
        <v>362</v>
      </c>
    </row>
    <row r="280">
      <c r="G280" s="4" t="s">
        <v>362</v>
      </c>
      <c r="H280" s="4" t="s">
        <v>362</v>
      </c>
    </row>
    <row r="281">
      <c r="G281" s="4" t="s">
        <v>362</v>
      </c>
      <c r="H281" s="4" t="s">
        <v>362</v>
      </c>
    </row>
    <row r="282">
      <c r="G282" s="4" t="s">
        <v>362</v>
      </c>
      <c r="H282" s="4" t="s">
        <v>362</v>
      </c>
    </row>
    <row r="283">
      <c r="G283" s="4" t="s">
        <v>362</v>
      </c>
      <c r="H283" s="4" t="s">
        <v>362</v>
      </c>
    </row>
    <row r="284">
      <c r="G284" s="4" t="s">
        <v>362</v>
      </c>
      <c r="H284" s="4" t="s">
        <v>362</v>
      </c>
    </row>
    <row r="285">
      <c r="G285" s="4" t="s">
        <v>362</v>
      </c>
      <c r="H285" s="4" t="s">
        <v>362</v>
      </c>
    </row>
    <row r="286">
      <c r="G286" s="4" t="s">
        <v>362</v>
      </c>
      <c r="H286" s="4" t="s">
        <v>362</v>
      </c>
    </row>
    <row r="287">
      <c r="G287" s="4" t="s">
        <v>362</v>
      </c>
      <c r="H287" s="4" t="s">
        <v>362</v>
      </c>
    </row>
    <row r="288">
      <c r="G288" s="4" t="s">
        <v>362</v>
      </c>
      <c r="H288" s="4" t="s">
        <v>362</v>
      </c>
    </row>
    <row r="289">
      <c r="G289" s="4" t="s">
        <v>362</v>
      </c>
      <c r="H289" s="4" t="s">
        <v>362</v>
      </c>
    </row>
    <row r="290">
      <c r="G290" s="4" t="s">
        <v>362</v>
      </c>
      <c r="H290" s="4" t="s">
        <v>362</v>
      </c>
    </row>
    <row r="291">
      <c r="G291" s="4" t="s">
        <v>362</v>
      </c>
      <c r="H291" s="4" t="s">
        <v>362</v>
      </c>
    </row>
    <row r="292">
      <c r="G292" s="4" t="s">
        <v>362</v>
      </c>
      <c r="H292" s="4" t="s">
        <v>362</v>
      </c>
    </row>
    <row r="293">
      <c r="G293" s="4" t="s">
        <v>362</v>
      </c>
      <c r="H293" s="4" t="s">
        <v>362</v>
      </c>
    </row>
    <row r="294">
      <c r="G294" s="4" t="s">
        <v>362</v>
      </c>
      <c r="H294" s="4" t="s">
        <v>362</v>
      </c>
    </row>
    <row r="295">
      <c r="G295" s="4" t="s">
        <v>362</v>
      </c>
      <c r="H295" s="4" t="s">
        <v>362</v>
      </c>
    </row>
    <row r="296">
      <c r="G296" s="4" t="s">
        <v>362</v>
      </c>
      <c r="H296" s="4" t="s">
        <v>362</v>
      </c>
    </row>
    <row r="297">
      <c r="G297" s="4" t="s">
        <v>362</v>
      </c>
      <c r="H297" s="4" t="s">
        <v>362</v>
      </c>
    </row>
    <row r="298">
      <c r="G298" s="4" t="s">
        <v>362</v>
      </c>
      <c r="H298" s="4" t="s">
        <v>362</v>
      </c>
    </row>
    <row r="299">
      <c r="G299" s="4" t="s">
        <v>362</v>
      </c>
      <c r="H299" s="4" t="s">
        <v>362</v>
      </c>
    </row>
    <row r="300">
      <c r="G300" s="4" t="s">
        <v>362</v>
      </c>
      <c r="H300" s="4" t="s">
        <v>362</v>
      </c>
    </row>
    <row r="301">
      <c r="G301" s="4" t="s">
        <v>362</v>
      </c>
      <c r="H301" s="4" t="s">
        <v>362</v>
      </c>
    </row>
    <row r="302">
      <c r="G302" s="4" t="s">
        <v>362</v>
      </c>
      <c r="H302" s="4" t="s">
        <v>362</v>
      </c>
    </row>
    <row r="303">
      <c r="G303" s="4" t="s">
        <v>362</v>
      </c>
      <c r="H303" s="4" t="s">
        <v>362</v>
      </c>
    </row>
    <row r="304">
      <c r="G304" s="4" t="s">
        <v>362</v>
      </c>
      <c r="H304" s="4" t="s">
        <v>362</v>
      </c>
    </row>
    <row r="305">
      <c r="G305" s="4" t="s">
        <v>362</v>
      </c>
      <c r="H305" s="4" t="s">
        <v>362</v>
      </c>
    </row>
    <row r="306">
      <c r="G306" s="4" t="s">
        <v>362</v>
      </c>
      <c r="H306" s="4" t="s">
        <v>362</v>
      </c>
    </row>
    <row r="307">
      <c r="G307" s="4" t="s">
        <v>362</v>
      </c>
      <c r="H307" s="4" t="s">
        <v>362</v>
      </c>
    </row>
    <row r="308">
      <c r="G308" s="4" t="s">
        <v>362</v>
      </c>
      <c r="H308" s="4" t="s">
        <v>362</v>
      </c>
    </row>
    <row r="309">
      <c r="G309" s="4" t="s">
        <v>362</v>
      </c>
      <c r="H309" s="4" t="s">
        <v>362</v>
      </c>
    </row>
    <row r="310">
      <c r="G310" s="4" t="s">
        <v>362</v>
      </c>
      <c r="H310" s="4" t="s">
        <v>362</v>
      </c>
    </row>
    <row r="311">
      <c r="G311" s="4" t="s">
        <v>362</v>
      </c>
      <c r="H311" s="4" t="s">
        <v>362</v>
      </c>
    </row>
    <row r="312">
      <c r="G312" s="4" t="s">
        <v>362</v>
      </c>
      <c r="H312" s="4" t="s">
        <v>362</v>
      </c>
    </row>
    <row r="313">
      <c r="G313" s="4" t="s">
        <v>362</v>
      </c>
      <c r="H313" s="4" t="s">
        <v>362</v>
      </c>
    </row>
    <row r="314">
      <c r="G314" s="4" t="s">
        <v>362</v>
      </c>
      <c r="H314" s="4" t="s">
        <v>362</v>
      </c>
    </row>
    <row r="315">
      <c r="G315" s="4" t="s">
        <v>362</v>
      </c>
      <c r="H315" s="4" t="s">
        <v>362</v>
      </c>
    </row>
    <row r="316">
      <c r="G316" s="4" t="s">
        <v>362</v>
      </c>
      <c r="H316" s="4" t="s">
        <v>362</v>
      </c>
    </row>
    <row r="317">
      <c r="G317" s="4" t="s">
        <v>362</v>
      </c>
      <c r="H317" s="4" t="s">
        <v>362</v>
      </c>
    </row>
    <row r="318">
      <c r="G318" s="4" t="s">
        <v>362</v>
      </c>
      <c r="H318" s="4" t="s">
        <v>362</v>
      </c>
    </row>
    <row r="319">
      <c r="G319" s="4" t="s">
        <v>362</v>
      </c>
      <c r="H319" s="4" t="s">
        <v>362</v>
      </c>
    </row>
    <row r="320">
      <c r="G320" s="4" t="s">
        <v>362</v>
      </c>
      <c r="H320" s="4" t="s">
        <v>362</v>
      </c>
    </row>
    <row r="321">
      <c r="G321" s="4" t="s">
        <v>362</v>
      </c>
      <c r="H321" s="4" t="s">
        <v>362</v>
      </c>
    </row>
    <row r="322">
      <c r="G322" s="4" t="s">
        <v>362</v>
      </c>
      <c r="H322" s="4" t="s">
        <v>362</v>
      </c>
    </row>
    <row r="323">
      <c r="G323" s="4" t="s">
        <v>362</v>
      </c>
      <c r="H323" s="4" t="s">
        <v>362</v>
      </c>
    </row>
    <row r="324">
      <c r="G324" s="4" t="s">
        <v>362</v>
      </c>
      <c r="H324" s="4" t="s">
        <v>362</v>
      </c>
    </row>
    <row r="325">
      <c r="G325" s="4" t="s">
        <v>362</v>
      </c>
      <c r="H325" s="4" t="s">
        <v>362</v>
      </c>
    </row>
    <row r="326">
      <c r="G326" s="4" t="s">
        <v>362</v>
      </c>
      <c r="H326" s="4" t="s">
        <v>362</v>
      </c>
    </row>
    <row r="327">
      <c r="G327" s="4" t="s">
        <v>362</v>
      </c>
      <c r="H327" s="4" t="s">
        <v>362</v>
      </c>
    </row>
    <row r="328">
      <c r="G328" s="4" t="s">
        <v>362</v>
      </c>
      <c r="H328" s="4" t="s">
        <v>362</v>
      </c>
    </row>
    <row r="329">
      <c r="G329" s="4" t="s">
        <v>362</v>
      </c>
      <c r="H329" s="4" t="s">
        <v>362</v>
      </c>
    </row>
    <row r="330">
      <c r="G330" s="4" t="s">
        <v>362</v>
      </c>
      <c r="H330" s="4" t="s">
        <v>362</v>
      </c>
    </row>
    <row r="331">
      <c r="G331" s="4" t="s">
        <v>362</v>
      </c>
      <c r="H331" s="4" t="s">
        <v>362</v>
      </c>
    </row>
    <row r="332">
      <c r="G332" s="4" t="s">
        <v>362</v>
      </c>
      <c r="H332" s="4" t="s">
        <v>362</v>
      </c>
    </row>
    <row r="333">
      <c r="G333" s="4" t="s">
        <v>362</v>
      </c>
      <c r="H333" s="4" t="s">
        <v>362</v>
      </c>
    </row>
    <row r="334">
      <c r="G334" s="4" t="s">
        <v>362</v>
      </c>
      <c r="H334" s="4" t="s">
        <v>362</v>
      </c>
    </row>
    <row r="335">
      <c r="G335" s="4" t="s">
        <v>362</v>
      </c>
      <c r="H335" s="4" t="s">
        <v>362</v>
      </c>
    </row>
    <row r="336">
      <c r="G336" s="4" t="s">
        <v>362</v>
      </c>
      <c r="H336" s="4" t="s">
        <v>362</v>
      </c>
    </row>
    <row r="337">
      <c r="G337" s="4" t="s">
        <v>362</v>
      </c>
      <c r="H337" s="4" t="s">
        <v>362</v>
      </c>
    </row>
    <row r="338">
      <c r="G338" s="4" t="s">
        <v>362</v>
      </c>
      <c r="H338" s="4" t="s">
        <v>362</v>
      </c>
    </row>
    <row r="339">
      <c r="G339" s="4" t="s">
        <v>362</v>
      </c>
      <c r="H339" s="4" t="s">
        <v>362</v>
      </c>
    </row>
    <row r="340">
      <c r="G340" s="4" t="s">
        <v>362</v>
      </c>
      <c r="H340" s="4" t="s">
        <v>362</v>
      </c>
    </row>
    <row r="341">
      <c r="G341" s="4" t="s">
        <v>362</v>
      </c>
      <c r="H341" s="4" t="s">
        <v>362</v>
      </c>
    </row>
    <row r="342">
      <c r="G342" s="4" t="s">
        <v>362</v>
      </c>
      <c r="H342" s="4" t="s">
        <v>362</v>
      </c>
    </row>
    <row r="343">
      <c r="G343" s="4" t="s">
        <v>362</v>
      </c>
      <c r="H343" s="4" t="s">
        <v>362</v>
      </c>
    </row>
    <row r="344">
      <c r="G344" s="4" t="s">
        <v>362</v>
      </c>
      <c r="H344" s="4" t="s">
        <v>362</v>
      </c>
    </row>
    <row r="345">
      <c r="G345" s="4" t="s">
        <v>362</v>
      </c>
      <c r="H345" s="4" t="s">
        <v>362</v>
      </c>
    </row>
    <row r="346">
      <c r="G346" s="4" t="s">
        <v>362</v>
      </c>
      <c r="H346" s="4" t="s">
        <v>362</v>
      </c>
    </row>
    <row r="347">
      <c r="G347" s="4" t="s">
        <v>362</v>
      </c>
      <c r="H347" s="4" t="s">
        <v>362</v>
      </c>
    </row>
    <row r="348">
      <c r="G348" s="4" t="s">
        <v>362</v>
      </c>
      <c r="H348" s="4" t="s">
        <v>362</v>
      </c>
    </row>
    <row r="349">
      <c r="G349" s="4" t="s">
        <v>362</v>
      </c>
      <c r="H349" s="4" t="s">
        <v>362</v>
      </c>
    </row>
    <row r="350">
      <c r="G350" s="4" t="s">
        <v>362</v>
      </c>
      <c r="H350" s="4" t="s">
        <v>362</v>
      </c>
    </row>
    <row r="351">
      <c r="G351" s="4" t="s">
        <v>362</v>
      </c>
      <c r="H351" s="4" t="s">
        <v>362</v>
      </c>
    </row>
    <row r="352">
      <c r="G352" s="4" t="s">
        <v>362</v>
      </c>
      <c r="H352" s="4" t="s">
        <v>362</v>
      </c>
    </row>
    <row r="353">
      <c r="G353" s="4" t="s">
        <v>362</v>
      </c>
      <c r="H353" s="4" t="s">
        <v>362</v>
      </c>
    </row>
    <row r="354">
      <c r="G354" s="4" t="s">
        <v>362</v>
      </c>
      <c r="H354" s="4" t="s">
        <v>362</v>
      </c>
    </row>
    <row r="355">
      <c r="G355" s="4" t="s">
        <v>362</v>
      </c>
      <c r="H355" s="4" t="s">
        <v>362</v>
      </c>
    </row>
    <row r="356">
      <c r="G356" s="4" t="s">
        <v>362</v>
      </c>
      <c r="H356" s="4" t="s">
        <v>362</v>
      </c>
    </row>
    <row r="357">
      <c r="G357" s="4" t="s">
        <v>362</v>
      </c>
      <c r="H357" s="4" t="s">
        <v>362</v>
      </c>
    </row>
    <row r="358">
      <c r="G358" s="4" t="s">
        <v>362</v>
      </c>
      <c r="H358" s="4" t="s">
        <v>362</v>
      </c>
    </row>
    <row r="359">
      <c r="G359" s="4" t="s">
        <v>362</v>
      </c>
      <c r="H359" s="4" t="s">
        <v>362</v>
      </c>
    </row>
    <row r="360">
      <c r="G360" s="4" t="s">
        <v>362</v>
      </c>
      <c r="H360" s="4" t="s">
        <v>362</v>
      </c>
    </row>
    <row r="361">
      <c r="G361" s="4" t="s">
        <v>362</v>
      </c>
      <c r="H361" s="4" t="s">
        <v>362</v>
      </c>
    </row>
    <row r="362">
      <c r="G362" s="4" t="s">
        <v>362</v>
      </c>
      <c r="H362" s="4" t="s">
        <v>362</v>
      </c>
    </row>
    <row r="363">
      <c r="G363" s="4" t="s">
        <v>362</v>
      </c>
      <c r="H363" s="4" t="s">
        <v>362</v>
      </c>
    </row>
    <row r="364">
      <c r="G364" s="4" t="s">
        <v>362</v>
      </c>
      <c r="H364" s="4" t="s">
        <v>362</v>
      </c>
    </row>
    <row r="365">
      <c r="G365" s="4" t="s">
        <v>362</v>
      </c>
      <c r="H365" s="4" t="s">
        <v>362</v>
      </c>
    </row>
    <row r="366">
      <c r="G366" s="4" t="s">
        <v>362</v>
      </c>
      <c r="H366" s="4" t="s">
        <v>362</v>
      </c>
    </row>
    <row r="367">
      <c r="G367" s="4" t="s">
        <v>362</v>
      </c>
      <c r="H367" s="4" t="s">
        <v>362</v>
      </c>
    </row>
    <row r="368">
      <c r="G368" s="4" t="s">
        <v>362</v>
      </c>
      <c r="H368" s="4" t="s">
        <v>362</v>
      </c>
    </row>
    <row r="369">
      <c r="G369" s="4" t="s">
        <v>362</v>
      </c>
      <c r="H369" s="4" t="s">
        <v>362</v>
      </c>
    </row>
    <row r="370">
      <c r="G370" s="4" t="s">
        <v>362</v>
      </c>
      <c r="H370" s="4" t="s">
        <v>362</v>
      </c>
    </row>
    <row r="371">
      <c r="G371" s="4" t="s">
        <v>362</v>
      </c>
      <c r="H371" s="4" t="s">
        <v>362</v>
      </c>
    </row>
    <row r="372">
      <c r="G372" s="4" t="s">
        <v>362</v>
      </c>
      <c r="H372" s="4" t="s">
        <v>362</v>
      </c>
    </row>
    <row r="373">
      <c r="G373" s="4" t="s">
        <v>362</v>
      </c>
      <c r="H373" s="4" t="s">
        <v>362</v>
      </c>
    </row>
    <row r="374">
      <c r="G374" s="4" t="s">
        <v>362</v>
      </c>
      <c r="H374" s="4" t="s">
        <v>362</v>
      </c>
    </row>
    <row r="375">
      <c r="G375" s="4" t="s">
        <v>362</v>
      </c>
      <c r="H375" s="4" t="s">
        <v>362</v>
      </c>
    </row>
    <row r="376">
      <c r="G376" s="4" t="s">
        <v>362</v>
      </c>
      <c r="H376" s="4" t="s">
        <v>362</v>
      </c>
    </row>
    <row r="377">
      <c r="G377" s="4" t="s">
        <v>362</v>
      </c>
      <c r="H377" s="4" t="s">
        <v>362</v>
      </c>
    </row>
    <row r="378">
      <c r="G378" s="4" t="s">
        <v>362</v>
      </c>
      <c r="H378" s="4" t="s">
        <v>362</v>
      </c>
    </row>
    <row r="379">
      <c r="G379" s="4" t="s">
        <v>362</v>
      </c>
      <c r="H379" s="4" t="s">
        <v>362</v>
      </c>
    </row>
    <row r="380">
      <c r="G380" s="4" t="s">
        <v>362</v>
      </c>
      <c r="H380" s="4" t="s">
        <v>362</v>
      </c>
    </row>
    <row r="381">
      <c r="G381" s="4" t="s">
        <v>362</v>
      </c>
      <c r="H381" s="4" t="s">
        <v>362</v>
      </c>
    </row>
    <row r="382">
      <c r="G382" s="4" t="s">
        <v>362</v>
      </c>
      <c r="H382" s="4" t="s">
        <v>362</v>
      </c>
    </row>
    <row r="383">
      <c r="G383" s="4" t="s">
        <v>362</v>
      </c>
      <c r="H383" s="4" t="s">
        <v>362</v>
      </c>
    </row>
    <row r="384">
      <c r="G384" s="4" t="s">
        <v>362</v>
      </c>
      <c r="H384" s="4" t="s">
        <v>362</v>
      </c>
    </row>
    <row r="385">
      <c r="G385" s="4" t="s">
        <v>362</v>
      </c>
      <c r="H385" s="4" t="s">
        <v>362</v>
      </c>
    </row>
    <row r="386">
      <c r="G386" s="4" t="s">
        <v>362</v>
      </c>
      <c r="H386" s="4" t="s">
        <v>362</v>
      </c>
    </row>
    <row r="387">
      <c r="G387" s="4" t="s">
        <v>362</v>
      </c>
      <c r="H387" s="4" t="s">
        <v>362</v>
      </c>
    </row>
    <row r="388">
      <c r="G388" s="4" t="s">
        <v>362</v>
      </c>
      <c r="H388" s="4" t="s">
        <v>362</v>
      </c>
    </row>
    <row r="389">
      <c r="G389" s="4" t="s">
        <v>362</v>
      </c>
      <c r="H389" s="4" t="s">
        <v>362</v>
      </c>
    </row>
    <row r="390">
      <c r="G390" s="4" t="s">
        <v>362</v>
      </c>
      <c r="H390" s="4" t="s">
        <v>362</v>
      </c>
    </row>
    <row r="391">
      <c r="G391" s="4" t="s">
        <v>362</v>
      </c>
      <c r="H391" s="4" t="s">
        <v>362</v>
      </c>
    </row>
    <row r="392">
      <c r="G392" s="4" t="s">
        <v>362</v>
      </c>
      <c r="H392" s="4" t="s">
        <v>362</v>
      </c>
    </row>
    <row r="393">
      <c r="G393" s="4" t="s">
        <v>362</v>
      </c>
      <c r="H393" s="4" t="s">
        <v>362</v>
      </c>
    </row>
    <row r="394">
      <c r="G394" s="4" t="s">
        <v>362</v>
      </c>
      <c r="H394" s="4" t="s">
        <v>362</v>
      </c>
    </row>
    <row r="395">
      <c r="G395" s="4" t="s">
        <v>362</v>
      </c>
      <c r="H395" s="4" t="s">
        <v>362</v>
      </c>
    </row>
    <row r="396">
      <c r="G396" s="4" t="s">
        <v>362</v>
      </c>
      <c r="H396" s="4" t="s">
        <v>362</v>
      </c>
    </row>
    <row r="397">
      <c r="G397" s="4" t="s">
        <v>362</v>
      </c>
      <c r="H397" s="4" t="s">
        <v>362</v>
      </c>
    </row>
    <row r="398">
      <c r="G398" s="4" t="s">
        <v>362</v>
      </c>
      <c r="H398" s="4" t="s">
        <v>362</v>
      </c>
    </row>
    <row r="399">
      <c r="G399" s="4" t="s">
        <v>362</v>
      </c>
      <c r="H399" s="4" t="s">
        <v>362</v>
      </c>
    </row>
    <row r="400">
      <c r="G400" s="4" t="s">
        <v>362</v>
      </c>
      <c r="H400" s="4" t="s">
        <v>362</v>
      </c>
    </row>
    <row r="401">
      <c r="G401" s="4" t="s">
        <v>362</v>
      </c>
      <c r="H401" s="4" t="s">
        <v>362</v>
      </c>
    </row>
    <row r="402">
      <c r="G402" s="4" t="s">
        <v>362</v>
      </c>
      <c r="H402" s="4" t="s">
        <v>362</v>
      </c>
    </row>
    <row r="403">
      <c r="G403" s="4" t="s">
        <v>362</v>
      </c>
      <c r="H403" s="4" t="s">
        <v>362</v>
      </c>
    </row>
    <row r="404">
      <c r="G404" s="4" t="s">
        <v>362</v>
      </c>
      <c r="H404" s="4" t="s">
        <v>362</v>
      </c>
    </row>
    <row r="405">
      <c r="G405" s="4" t="s">
        <v>362</v>
      </c>
      <c r="H405" s="4" t="s">
        <v>362</v>
      </c>
    </row>
    <row r="406">
      <c r="G406" s="4" t="s">
        <v>362</v>
      </c>
      <c r="H406" s="4" t="s">
        <v>362</v>
      </c>
    </row>
    <row r="407">
      <c r="G407" s="4" t="s">
        <v>362</v>
      </c>
      <c r="H407" s="4" t="s">
        <v>362</v>
      </c>
    </row>
    <row r="408">
      <c r="G408" s="4" t="s">
        <v>362</v>
      </c>
      <c r="H408" s="4" t="s">
        <v>362</v>
      </c>
    </row>
    <row r="409">
      <c r="G409" s="4" t="s">
        <v>362</v>
      </c>
      <c r="H409" s="4" t="s">
        <v>362</v>
      </c>
    </row>
    <row r="410">
      <c r="G410" s="4" t="s">
        <v>362</v>
      </c>
      <c r="H410" s="4" t="s">
        <v>362</v>
      </c>
    </row>
    <row r="411">
      <c r="G411" s="4" t="s">
        <v>362</v>
      </c>
      <c r="H411" s="4" t="s">
        <v>362</v>
      </c>
    </row>
    <row r="412">
      <c r="G412" s="4" t="s">
        <v>362</v>
      </c>
      <c r="H412" s="4" t="s">
        <v>362</v>
      </c>
    </row>
    <row r="413">
      <c r="G413" s="4" t="s">
        <v>362</v>
      </c>
      <c r="H413" s="4" t="s">
        <v>362</v>
      </c>
    </row>
    <row r="414">
      <c r="G414" s="4" t="s">
        <v>362</v>
      </c>
      <c r="H414" s="4" t="s">
        <v>362</v>
      </c>
    </row>
    <row r="415">
      <c r="G415" s="4" t="s">
        <v>362</v>
      </c>
      <c r="H415" s="4" t="s">
        <v>362</v>
      </c>
    </row>
    <row r="416">
      <c r="G416" s="4" t="s">
        <v>362</v>
      </c>
      <c r="H416" s="4" t="s">
        <v>362</v>
      </c>
    </row>
    <row r="417">
      <c r="G417" s="4" t="s">
        <v>362</v>
      </c>
      <c r="H417" s="4" t="s">
        <v>362</v>
      </c>
    </row>
    <row r="418">
      <c r="G418" s="4" t="s">
        <v>362</v>
      </c>
      <c r="H418" s="4" t="s">
        <v>362</v>
      </c>
    </row>
    <row r="419">
      <c r="G419" s="4" t="s">
        <v>362</v>
      </c>
      <c r="H419" s="4" t="s">
        <v>362</v>
      </c>
    </row>
    <row r="420">
      <c r="G420" s="4" t="s">
        <v>362</v>
      </c>
      <c r="H420" s="4" t="s">
        <v>362</v>
      </c>
    </row>
    <row r="421">
      <c r="G421" s="4" t="s">
        <v>362</v>
      </c>
      <c r="H421" s="4" t="s">
        <v>362</v>
      </c>
    </row>
    <row r="422">
      <c r="G422" s="4" t="s">
        <v>362</v>
      </c>
      <c r="H422" s="4" t="s">
        <v>362</v>
      </c>
    </row>
    <row r="423">
      <c r="G423" s="4" t="s">
        <v>362</v>
      </c>
      <c r="H423" s="4" t="s">
        <v>362</v>
      </c>
    </row>
    <row r="424">
      <c r="G424" s="4" t="s">
        <v>362</v>
      </c>
      <c r="H424" s="4" t="s">
        <v>362</v>
      </c>
    </row>
    <row r="425">
      <c r="G425" s="4" t="s">
        <v>362</v>
      </c>
      <c r="H425" s="4" t="s">
        <v>362</v>
      </c>
    </row>
    <row r="426">
      <c r="G426" s="4" t="s">
        <v>362</v>
      </c>
      <c r="H426" s="4" t="s">
        <v>362</v>
      </c>
    </row>
    <row r="427">
      <c r="G427" s="4" t="s">
        <v>362</v>
      </c>
      <c r="H427" s="4" t="s">
        <v>362</v>
      </c>
    </row>
    <row r="428">
      <c r="G428" s="4" t="s">
        <v>362</v>
      </c>
      <c r="H428" s="4" t="s">
        <v>362</v>
      </c>
    </row>
    <row r="429">
      <c r="G429" s="4" t="s">
        <v>362</v>
      </c>
      <c r="H429" s="4" t="s">
        <v>362</v>
      </c>
    </row>
    <row r="430">
      <c r="G430" s="4" t="s">
        <v>362</v>
      </c>
      <c r="H430" s="4" t="s">
        <v>362</v>
      </c>
    </row>
    <row r="431">
      <c r="G431" s="4" t="s">
        <v>362</v>
      </c>
      <c r="H431" s="4" t="s">
        <v>362</v>
      </c>
    </row>
    <row r="432">
      <c r="G432" s="4" t="s">
        <v>362</v>
      </c>
      <c r="H432" s="4" t="s">
        <v>362</v>
      </c>
    </row>
    <row r="433">
      <c r="G433" s="4" t="s">
        <v>362</v>
      </c>
      <c r="H433" s="4" t="s">
        <v>362</v>
      </c>
    </row>
    <row r="434">
      <c r="G434" s="4" t="s">
        <v>362</v>
      </c>
      <c r="H434" s="4" t="s">
        <v>362</v>
      </c>
    </row>
    <row r="435">
      <c r="G435" s="4" t="s">
        <v>362</v>
      </c>
      <c r="H435" s="4" t="s">
        <v>362</v>
      </c>
    </row>
    <row r="436">
      <c r="G436" s="4" t="s">
        <v>362</v>
      </c>
      <c r="H436" s="4" t="s">
        <v>362</v>
      </c>
    </row>
    <row r="437">
      <c r="G437" s="4" t="s">
        <v>362</v>
      </c>
      <c r="H437" s="4" t="s">
        <v>362</v>
      </c>
    </row>
    <row r="438">
      <c r="G438" s="4" t="s">
        <v>362</v>
      </c>
      <c r="H438" s="4" t="s">
        <v>362</v>
      </c>
    </row>
    <row r="439">
      <c r="G439" s="4" t="s">
        <v>362</v>
      </c>
      <c r="H439" s="4" t="s">
        <v>362</v>
      </c>
    </row>
    <row r="440">
      <c r="G440" s="4" t="s">
        <v>362</v>
      </c>
      <c r="H440" s="4" t="s">
        <v>362</v>
      </c>
    </row>
    <row r="441">
      <c r="G441" s="4" t="s">
        <v>362</v>
      </c>
      <c r="H441" s="4" t="s">
        <v>362</v>
      </c>
    </row>
    <row r="442">
      <c r="G442" s="4" t="s">
        <v>362</v>
      </c>
      <c r="H442" s="4" t="s">
        <v>362</v>
      </c>
    </row>
    <row r="443">
      <c r="G443" s="4" t="s">
        <v>362</v>
      </c>
      <c r="H443" s="4" t="s">
        <v>362</v>
      </c>
    </row>
    <row r="444">
      <c r="G444" s="4" t="s">
        <v>362</v>
      </c>
      <c r="H444" s="4" t="s">
        <v>362</v>
      </c>
    </row>
    <row r="445">
      <c r="G445" s="4" t="s">
        <v>362</v>
      </c>
      <c r="H445" s="4" t="s">
        <v>362</v>
      </c>
    </row>
    <row r="446">
      <c r="G446" s="4" t="s">
        <v>362</v>
      </c>
      <c r="H446" s="4" t="s">
        <v>362</v>
      </c>
    </row>
    <row r="447">
      <c r="G447" s="4" t="s">
        <v>362</v>
      </c>
      <c r="H447" s="4" t="s">
        <v>362</v>
      </c>
    </row>
    <row r="448">
      <c r="G448" s="4" t="s">
        <v>362</v>
      </c>
      <c r="H448" s="4" t="s">
        <v>362</v>
      </c>
    </row>
    <row r="449">
      <c r="G449" s="4" t="s">
        <v>362</v>
      </c>
      <c r="H449" s="4" t="s">
        <v>362</v>
      </c>
    </row>
    <row r="450">
      <c r="G450" s="4" t="s">
        <v>362</v>
      </c>
      <c r="H450" s="4" t="s">
        <v>362</v>
      </c>
    </row>
    <row r="451">
      <c r="G451" s="4" t="s">
        <v>362</v>
      </c>
      <c r="H451" s="4" t="s">
        <v>362</v>
      </c>
    </row>
    <row r="452">
      <c r="G452" s="4" t="s">
        <v>362</v>
      </c>
      <c r="H452" s="4" t="s">
        <v>362</v>
      </c>
    </row>
    <row r="453">
      <c r="G453" s="4" t="s">
        <v>362</v>
      </c>
      <c r="H453" s="4" t="s">
        <v>362</v>
      </c>
    </row>
    <row r="454">
      <c r="G454" s="4" t="s">
        <v>362</v>
      </c>
      <c r="H454" s="4" t="s">
        <v>362</v>
      </c>
    </row>
    <row r="455">
      <c r="G455" s="4" t="s">
        <v>362</v>
      </c>
      <c r="H455" s="4" t="s">
        <v>362</v>
      </c>
    </row>
    <row r="456">
      <c r="G456" s="4" t="s">
        <v>362</v>
      </c>
      <c r="H456" s="4" t="s">
        <v>362</v>
      </c>
    </row>
    <row r="457">
      <c r="G457" s="4" t="s">
        <v>362</v>
      </c>
      <c r="H457" s="4" t="s">
        <v>362</v>
      </c>
    </row>
    <row r="458">
      <c r="G458" s="4" t="s">
        <v>362</v>
      </c>
      <c r="H458" s="4" t="s">
        <v>362</v>
      </c>
    </row>
    <row r="459">
      <c r="G459" s="4" t="s">
        <v>362</v>
      </c>
      <c r="H459" s="4" t="s">
        <v>362</v>
      </c>
    </row>
    <row r="460">
      <c r="G460" s="4" t="s">
        <v>362</v>
      </c>
      <c r="H460" s="4" t="s">
        <v>362</v>
      </c>
    </row>
    <row r="461">
      <c r="G461" s="4" t="s">
        <v>362</v>
      </c>
      <c r="H461" s="4" t="s">
        <v>362</v>
      </c>
    </row>
    <row r="462">
      <c r="G462" s="4" t="s">
        <v>362</v>
      </c>
      <c r="H462" s="4" t="s">
        <v>362</v>
      </c>
    </row>
    <row r="463">
      <c r="G463" s="4" t="s">
        <v>362</v>
      </c>
      <c r="H463" s="4" t="s">
        <v>362</v>
      </c>
    </row>
    <row r="464">
      <c r="G464" s="4" t="s">
        <v>362</v>
      </c>
      <c r="H464" s="4" t="s">
        <v>362</v>
      </c>
    </row>
    <row r="465">
      <c r="G465" s="4" t="s">
        <v>362</v>
      </c>
      <c r="H465" s="4" t="s">
        <v>362</v>
      </c>
    </row>
    <row r="466">
      <c r="G466" s="4" t="s">
        <v>362</v>
      </c>
      <c r="H466" s="4" t="s">
        <v>362</v>
      </c>
    </row>
    <row r="467">
      <c r="G467" s="4" t="s">
        <v>362</v>
      </c>
      <c r="H467" s="4" t="s">
        <v>362</v>
      </c>
    </row>
    <row r="468">
      <c r="G468" s="4" t="s">
        <v>362</v>
      </c>
      <c r="H468" s="4" t="s">
        <v>362</v>
      </c>
    </row>
    <row r="469">
      <c r="G469" s="4" t="s">
        <v>362</v>
      </c>
      <c r="H469" s="4" t="s">
        <v>362</v>
      </c>
    </row>
    <row r="470">
      <c r="G470" s="4" t="s">
        <v>362</v>
      </c>
      <c r="H470" s="4" t="s">
        <v>362</v>
      </c>
    </row>
    <row r="471">
      <c r="G471" s="4" t="s">
        <v>362</v>
      </c>
      <c r="H471" s="4" t="s">
        <v>362</v>
      </c>
    </row>
    <row r="472">
      <c r="G472" s="4" t="s">
        <v>362</v>
      </c>
      <c r="H472" s="4" t="s">
        <v>362</v>
      </c>
    </row>
    <row r="473">
      <c r="G473" s="4" t="s">
        <v>362</v>
      </c>
      <c r="H473" s="4" t="s">
        <v>362</v>
      </c>
    </row>
    <row r="474">
      <c r="G474" s="4" t="s">
        <v>362</v>
      </c>
      <c r="H474" s="4" t="s">
        <v>362</v>
      </c>
    </row>
    <row r="475">
      <c r="G475" s="4" t="s">
        <v>362</v>
      </c>
      <c r="H475" s="4" t="s">
        <v>362</v>
      </c>
    </row>
    <row r="476">
      <c r="G476" s="4" t="s">
        <v>362</v>
      </c>
      <c r="H476" s="4" t="s">
        <v>362</v>
      </c>
    </row>
    <row r="477">
      <c r="G477" s="4" t="s">
        <v>362</v>
      </c>
      <c r="H477" s="4" t="s">
        <v>362</v>
      </c>
    </row>
    <row r="478">
      <c r="G478" s="4" t="s">
        <v>362</v>
      </c>
      <c r="H478" s="4" t="s">
        <v>362</v>
      </c>
    </row>
    <row r="479">
      <c r="G479" s="4" t="s">
        <v>362</v>
      </c>
      <c r="H479" s="4" t="s">
        <v>362</v>
      </c>
    </row>
    <row r="480">
      <c r="G480" s="4" t="s">
        <v>362</v>
      </c>
      <c r="H480" s="4" t="s">
        <v>362</v>
      </c>
    </row>
    <row r="481">
      <c r="G481" s="4" t="s">
        <v>362</v>
      </c>
      <c r="H481" s="4" t="s">
        <v>362</v>
      </c>
    </row>
    <row r="482">
      <c r="G482" s="4" t="s">
        <v>362</v>
      </c>
      <c r="H482" s="4" t="s">
        <v>362</v>
      </c>
    </row>
    <row r="483">
      <c r="G483" s="4" t="s">
        <v>362</v>
      </c>
      <c r="H483" s="4" t="s">
        <v>362</v>
      </c>
    </row>
    <row r="484">
      <c r="G484" s="4" t="s">
        <v>362</v>
      </c>
      <c r="H484" s="4" t="s">
        <v>362</v>
      </c>
    </row>
    <row r="485">
      <c r="G485" s="4" t="s">
        <v>362</v>
      </c>
      <c r="H485" s="4" t="s">
        <v>362</v>
      </c>
    </row>
    <row r="486">
      <c r="G486" s="4" t="s">
        <v>362</v>
      </c>
      <c r="H486" s="4" t="s">
        <v>362</v>
      </c>
    </row>
    <row r="487">
      <c r="G487" s="4" t="s">
        <v>362</v>
      </c>
      <c r="H487" s="4" t="s">
        <v>362</v>
      </c>
    </row>
    <row r="488">
      <c r="G488" s="4" t="s">
        <v>362</v>
      </c>
      <c r="H488" s="4" t="s">
        <v>362</v>
      </c>
    </row>
    <row r="489">
      <c r="G489" s="4" t="s">
        <v>362</v>
      </c>
      <c r="H489" s="4" t="s">
        <v>362</v>
      </c>
    </row>
    <row r="490">
      <c r="G490" s="4" t="s">
        <v>362</v>
      </c>
      <c r="H490" s="4" t="s">
        <v>362</v>
      </c>
    </row>
    <row r="491">
      <c r="G491" s="4" t="s">
        <v>362</v>
      </c>
      <c r="H491" s="4" t="s">
        <v>362</v>
      </c>
    </row>
    <row r="492">
      <c r="G492" s="4" t="s">
        <v>362</v>
      </c>
      <c r="H492" s="4" t="s">
        <v>362</v>
      </c>
    </row>
    <row r="493">
      <c r="G493" s="4" t="s">
        <v>362</v>
      </c>
      <c r="H493" s="4" t="s">
        <v>362</v>
      </c>
    </row>
    <row r="494">
      <c r="G494" s="4" t="s">
        <v>362</v>
      </c>
      <c r="H494" s="4" t="s">
        <v>362</v>
      </c>
    </row>
    <row r="495">
      <c r="G495" s="4" t="s">
        <v>362</v>
      </c>
      <c r="H495" s="4" t="s">
        <v>362</v>
      </c>
    </row>
    <row r="496">
      <c r="G496" s="4" t="s">
        <v>362</v>
      </c>
      <c r="H496" s="4" t="s">
        <v>362</v>
      </c>
    </row>
    <row r="497">
      <c r="G497" s="4" t="s">
        <v>362</v>
      </c>
      <c r="H497" s="4" t="s">
        <v>362</v>
      </c>
    </row>
    <row r="498">
      <c r="G498" s="4" t="s">
        <v>362</v>
      </c>
      <c r="H498" s="4" t="s">
        <v>362</v>
      </c>
    </row>
    <row r="499">
      <c r="G499" s="4" t="s">
        <v>362</v>
      </c>
      <c r="H499" s="4" t="s">
        <v>362</v>
      </c>
    </row>
    <row r="500">
      <c r="G500" s="4" t="s">
        <v>362</v>
      </c>
      <c r="H500" s="4" t="s">
        <v>362</v>
      </c>
    </row>
    <row r="501">
      <c r="G501" s="4" t="s">
        <v>362</v>
      </c>
      <c r="H501" s="4" t="s">
        <v>362</v>
      </c>
    </row>
    <row r="502">
      <c r="G502" s="4" t="s">
        <v>362</v>
      </c>
      <c r="H502" s="4" t="s">
        <v>362</v>
      </c>
    </row>
    <row r="503">
      <c r="G503" s="4" t="s">
        <v>362</v>
      </c>
      <c r="H503" s="4" t="s">
        <v>362</v>
      </c>
    </row>
    <row r="504">
      <c r="G504" s="4" t="s">
        <v>362</v>
      </c>
      <c r="H504" s="4" t="s">
        <v>362</v>
      </c>
    </row>
    <row r="505">
      <c r="G505" s="4" t="s">
        <v>362</v>
      </c>
      <c r="H505" s="4" t="s">
        <v>362</v>
      </c>
    </row>
    <row r="506">
      <c r="G506" s="4" t="s">
        <v>362</v>
      </c>
      <c r="H506" s="4" t="s">
        <v>362</v>
      </c>
    </row>
    <row r="507">
      <c r="G507" s="4" t="s">
        <v>362</v>
      </c>
      <c r="H507" s="4" t="s">
        <v>362</v>
      </c>
    </row>
    <row r="508">
      <c r="G508" s="4" t="s">
        <v>362</v>
      </c>
      <c r="H508" s="4" t="s">
        <v>362</v>
      </c>
    </row>
    <row r="509">
      <c r="G509" s="4" t="s">
        <v>362</v>
      </c>
      <c r="H509" s="4" t="s">
        <v>362</v>
      </c>
    </row>
    <row r="510">
      <c r="G510" s="4" t="s">
        <v>362</v>
      </c>
      <c r="H510" s="4" t="s">
        <v>362</v>
      </c>
    </row>
    <row r="511">
      <c r="G511" s="4" t="s">
        <v>362</v>
      </c>
      <c r="H511" s="4" t="s">
        <v>362</v>
      </c>
    </row>
    <row r="512">
      <c r="G512" s="4" t="s">
        <v>362</v>
      </c>
      <c r="H512" s="4" t="s">
        <v>362</v>
      </c>
    </row>
    <row r="513">
      <c r="G513" s="4" t="s">
        <v>362</v>
      </c>
      <c r="H513" s="4" t="s">
        <v>362</v>
      </c>
    </row>
    <row r="514">
      <c r="G514" s="4" t="s">
        <v>362</v>
      </c>
      <c r="H514" s="4" t="s">
        <v>362</v>
      </c>
    </row>
    <row r="515">
      <c r="G515" s="4" t="s">
        <v>362</v>
      </c>
      <c r="H515" s="4" t="s">
        <v>362</v>
      </c>
    </row>
    <row r="516">
      <c r="G516" s="4" t="s">
        <v>362</v>
      </c>
      <c r="H516" s="4" t="s">
        <v>362</v>
      </c>
    </row>
    <row r="517">
      <c r="G517" s="4" t="s">
        <v>362</v>
      </c>
      <c r="H517" s="4" t="s">
        <v>362</v>
      </c>
    </row>
    <row r="518">
      <c r="G518" s="4" t="s">
        <v>362</v>
      </c>
      <c r="H518" s="4" t="s">
        <v>362</v>
      </c>
    </row>
    <row r="519">
      <c r="G519" s="4" t="s">
        <v>362</v>
      </c>
      <c r="H519" s="4" t="s">
        <v>362</v>
      </c>
    </row>
    <row r="520">
      <c r="G520" s="4" t="s">
        <v>362</v>
      </c>
      <c r="H520" s="4" t="s">
        <v>362</v>
      </c>
    </row>
    <row r="521">
      <c r="G521" s="4" t="s">
        <v>362</v>
      </c>
      <c r="H521" s="4" t="s">
        <v>362</v>
      </c>
    </row>
    <row r="522">
      <c r="G522" s="4" t="s">
        <v>362</v>
      </c>
      <c r="H522" s="4" t="s">
        <v>362</v>
      </c>
    </row>
    <row r="523">
      <c r="G523" s="4" t="s">
        <v>362</v>
      </c>
      <c r="H523" s="4" t="s">
        <v>362</v>
      </c>
    </row>
    <row r="524">
      <c r="G524" s="4" t="s">
        <v>362</v>
      </c>
      <c r="H524" s="4" t="s">
        <v>362</v>
      </c>
    </row>
    <row r="525">
      <c r="G525" s="4" t="s">
        <v>362</v>
      </c>
      <c r="H525" s="4" t="s">
        <v>362</v>
      </c>
    </row>
    <row r="526">
      <c r="G526" s="4" t="s">
        <v>362</v>
      </c>
      <c r="H526" s="4" t="s">
        <v>362</v>
      </c>
    </row>
    <row r="527">
      <c r="G527" s="4" t="s">
        <v>362</v>
      </c>
      <c r="H527" s="4" t="s">
        <v>362</v>
      </c>
    </row>
    <row r="528">
      <c r="G528" s="4" t="s">
        <v>362</v>
      </c>
      <c r="H528" s="4" t="s">
        <v>362</v>
      </c>
    </row>
    <row r="529">
      <c r="G529" s="4" t="s">
        <v>362</v>
      </c>
      <c r="H529" s="4" t="s">
        <v>362</v>
      </c>
    </row>
    <row r="530">
      <c r="G530" s="4" t="s">
        <v>362</v>
      </c>
      <c r="H530" s="4" t="s">
        <v>362</v>
      </c>
    </row>
    <row r="531">
      <c r="G531" s="4" t="s">
        <v>362</v>
      </c>
      <c r="H531" s="4" t="s">
        <v>362</v>
      </c>
    </row>
    <row r="532">
      <c r="G532" s="4" t="s">
        <v>362</v>
      </c>
      <c r="H532" s="4" t="s">
        <v>362</v>
      </c>
    </row>
    <row r="533">
      <c r="G533" s="4" t="s">
        <v>362</v>
      </c>
      <c r="H533" s="4" t="s">
        <v>362</v>
      </c>
    </row>
    <row r="534">
      <c r="G534" s="4" t="s">
        <v>362</v>
      </c>
      <c r="H534" s="4" t="s">
        <v>362</v>
      </c>
    </row>
    <row r="535">
      <c r="G535" s="4" t="s">
        <v>362</v>
      </c>
      <c r="H535" s="4" t="s">
        <v>362</v>
      </c>
    </row>
    <row r="536">
      <c r="G536" s="4" t="s">
        <v>362</v>
      </c>
      <c r="H536" s="4" t="s">
        <v>362</v>
      </c>
    </row>
    <row r="537">
      <c r="G537" s="4" t="s">
        <v>362</v>
      </c>
      <c r="H537" s="4" t="s">
        <v>362</v>
      </c>
    </row>
    <row r="538">
      <c r="G538" s="4" t="s">
        <v>362</v>
      </c>
      <c r="H538" s="4" t="s">
        <v>362</v>
      </c>
    </row>
    <row r="539">
      <c r="G539" s="4" t="s">
        <v>362</v>
      </c>
      <c r="H539" s="4" t="s">
        <v>362</v>
      </c>
    </row>
    <row r="540">
      <c r="G540" s="4" t="s">
        <v>362</v>
      </c>
      <c r="H540" s="4" t="s">
        <v>362</v>
      </c>
    </row>
    <row r="541">
      <c r="G541" s="4" t="s">
        <v>362</v>
      </c>
      <c r="H541" s="4" t="s">
        <v>362</v>
      </c>
    </row>
    <row r="542">
      <c r="G542" s="4" t="s">
        <v>362</v>
      </c>
      <c r="H542" s="4" t="s">
        <v>362</v>
      </c>
    </row>
    <row r="543">
      <c r="G543" s="4" t="s">
        <v>362</v>
      </c>
      <c r="H543" s="4" t="s">
        <v>362</v>
      </c>
    </row>
    <row r="544">
      <c r="G544" s="4" t="s">
        <v>362</v>
      </c>
      <c r="H544" s="4" t="s">
        <v>362</v>
      </c>
    </row>
    <row r="545">
      <c r="G545" s="4" t="s">
        <v>362</v>
      </c>
      <c r="H545" s="4" t="s">
        <v>362</v>
      </c>
    </row>
    <row r="546">
      <c r="G546" s="4" t="s">
        <v>362</v>
      </c>
      <c r="H546" s="4" t="s">
        <v>362</v>
      </c>
    </row>
    <row r="547">
      <c r="G547" s="4" t="s">
        <v>362</v>
      </c>
      <c r="H547" s="4" t="s">
        <v>362</v>
      </c>
    </row>
    <row r="548">
      <c r="G548" s="4" t="s">
        <v>362</v>
      </c>
      <c r="H548" s="4" t="s">
        <v>362</v>
      </c>
    </row>
    <row r="549">
      <c r="G549" s="4" t="s">
        <v>362</v>
      </c>
      <c r="H549" s="4" t="s">
        <v>362</v>
      </c>
    </row>
    <row r="550">
      <c r="G550" s="4" t="s">
        <v>362</v>
      </c>
      <c r="H550" s="4" t="s">
        <v>362</v>
      </c>
    </row>
    <row r="551">
      <c r="G551" s="4" t="s">
        <v>362</v>
      </c>
      <c r="H551" s="4" t="s">
        <v>362</v>
      </c>
    </row>
    <row r="552">
      <c r="G552" s="4" t="s">
        <v>362</v>
      </c>
      <c r="H552" s="4" t="s">
        <v>362</v>
      </c>
    </row>
    <row r="553">
      <c r="G553" s="4" t="s">
        <v>362</v>
      </c>
      <c r="H553" s="4" t="s">
        <v>362</v>
      </c>
    </row>
    <row r="554">
      <c r="G554" s="4" t="s">
        <v>362</v>
      </c>
      <c r="H554" s="4" t="s">
        <v>362</v>
      </c>
    </row>
    <row r="555">
      <c r="G555" s="4" t="s">
        <v>362</v>
      </c>
      <c r="H555" s="4" t="s">
        <v>362</v>
      </c>
    </row>
    <row r="556">
      <c r="G556" s="4" t="s">
        <v>362</v>
      </c>
      <c r="H556" s="4" t="s">
        <v>362</v>
      </c>
    </row>
    <row r="557">
      <c r="G557" s="4" t="s">
        <v>362</v>
      </c>
      <c r="H557" s="4" t="s">
        <v>362</v>
      </c>
    </row>
    <row r="558">
      <c r="G558" s="4" t="s">
        <v>362</v>
      </c>
      <c r="H558" s="4" t="s">
        <v>362</v>
      </c>
    </row>
    <row r="559">
      <c r="G559" s="4" t="s">
        <v>362</v>
      </c>
      <c r="H559" s="4" t="s">
        <v>362</v>
      </c>
    </row>
    <row r="560">
      <c r="G560" s="4" t="s">
        <v>362</v>
      </c>
      <c r="H560" s="4" t="s">
        <v>362</v>
      </c>
    </row>
    <row r="561">
      <c r="G561" s="4" t="s">
        <v>362</v>
      </c>
      <c r="H561" s="4" t="s">
        <v>362</v>
      </c>
    </row>
    <row r="562">
      <c r="G562" s="4" t="s">
        <v>362</v>
      </c>
      <c r="H562" s="4" t="s">
        <v>362</v>
      </c>
    </row>
    <row r="563">
      <c r="G563" s="4" t="s">
        <v>362</v>
      </c>
      <c r="H563" s="4" t="s">
        <v>362</v>
      </c>
    </row>
    <row r="564">
      <c r="G564" s="4" t="s">
        <v>362</v>
      </c>
      <c r="H564" s="4" t="s">
        <v>362</v>
      </c>
    </row>
    <row r="565">
      <c r="G565" s="4" t="s">
        <v>362</v>
      </c>
      <c r="H565" s="4" t="s">
        <v>362</v>
      </c>
    </row>
    <row r="566">
      <c r="G566" s="4" t="s">
        <v>362</v>
      </c>
      <c r="H566" s="4" t="s">
        <v>362</v>
      </c>
    </row>
    <row r="567">
      <c r="G567" s="4" t="s">
        <v>362</v>
      </c>
      <c r="H567" s="4" t="s">
        <v>362</v>
      </c>
    </row>
    <row r="568">
      <c r="G568" s="4" t="s">
        <v>362</v>
      </c>
      <c r="H568" s="4" t="s">
        <v>362</v>
      </c>
    </row>
    <row r="569">
      <c r="G569" s="4" t="s">
        <v>362</v>
      </c>
      <c r="H569" s="4" t="s">
        <v>362</v>
      </c>
    </row>
    <row r="570">
      <c r="G570" s="4" t="s">
        <v>362</v>
      </c>
      <c r="H570" s="4" t="s">
        <v>362</v>
      </c>
    </row>
    <row r="571">
      <c r="G571" s="4" t="s">
        <v>362</v>
      </c>
      <c r="H571" s="4" t="s">
        <v>362</v>
      </c>
    </row>
    <row r="572">
      <c r="G572" s="4" t="s">
        <v>362</v>
      </c>
      <c r="H572" s="4" t="s">
        <v>362</v>
      </c>
    </row>
    <row r="573">
      <c r="G573" s="4" t="s">
        <v>362</v>
      </c>
      <c r="H573" s="4" t="s">
        <v>362</v>
      </c>
    </row>
    <row r="574">
      <c r="G574" s="4" t="s">
        <v>362</v>
      </c>
      <c r="H574" s="4" t="s">
        <v>362</v>
      </c>
    </row>
    <row r="575">
      <c r="G575" s="4" t="s">
        <v>362</v>
      </c>
      <c r="H575" s="4" t="s">
        <v>362</v>
      </c>
    </row>
    <row r="576">
      <c r="G576" s="4" t="s">
        <v>362</v>
      </c>
      <c r="H576" s="4" t="s">
        <v>362</v>
      </c>
    </row>
    <row r="577">
      <c r="G577" s="4" t="s">
        <v>362</v>
      </c>
      <c r="H577" s="4" t="s">
        <v>362</v>
      </c>
    </row>
    <row r="578">
      <c r="G578" s="4" t="s">
        <v>362</v>
      </c>
      <c r="H578" s="4" t="s">
        <v>362</v>
      </c>
    </row>
    <row r="579">
      <c r="G579" s="4" t="s">
        <v>362</v>
      </c>
      <c r="H579" s="4" t="s">
        <v>362</v>
      </c>
    </row>
    <row r="580">
      <c r="G580" s="4" t="s">
        <v>362</v>
      </c>
      <c r="H580" s="4" t="s">
        <v>362</v>
      </c>
    </row>
    <row r="581">
      <c r="G581" s="4" t="s">
        <v>362</v>
      </c>
      <c r="H581" s="4" t="s">
        <v>362</v>
      </c>
    </row>
    <row r="582">
      <c r="G582" s="4" t="s">
        <v>362</v>
      </c>
      <c r="H582" s="4" t="s">
        <v>362</v>
      </c>
    </row>
    <row r="583">
      <c r="G583" s="4" t="s">
        <v>362</v>
      </c>
      <c r="H583" s="4" t="s">
        <v>362</v>
      </c>
    </row>
    <row r="584">
      <c r="G584" s="4" t="s">
        <v>362</v>
      </c>
      <c r="H584" s="4" t="s">
        <v>362</v>
      </c>
    </row>
    <row r="585">
      <c r="G585" s="4" t="s">
        <v>362</v>
      </c>
      <c r="H585" s="4" t="s">
        <v>362</v>
      </c>
    </row>
    <row r="586">
      <c r="G586" s="4" t="s">
        <v>362</v>
      </c>
      <c r="H586" s="4" t="s">
        <v>362</v>
      </c>
    </row>
    <row r="587">
      <c r="G587" s="4" t="s">
        <v>362</v>
      </c>
      <c r="H587" s="4" t="s">
        <v>362</v>
      </c>
    </row>
    <row r="588">
      <c r="G588" s="4" t="s">
        <v>362</v>
      </c>
      <c r="H588" s="4" t="s">
        <v>362</v>
      </c>
    </row>
    <row r="589">
      <c r="G589" s="4" t="s">
        <v>362</v>
      </c>
      <c r="H589" s="4" t="s">
        <v>362</v>
      </c>
    </row>
    <row r="590">
      <c r="G590" s="4" t="s">
        <v>362</v>
      </c>
      <c r="H590" s="4" t="s">
        <v>362</v>
      </c>
    </row>
    <row r="591">
      <c r="G591" s="4" t="s">
        <v>362</v>
      </c>
      <c r="H591" s="4" t="s">
        <v>362</v>
      </c>
    </row>
    <row r="592">
      <c r="G592" s="4" t="s">
        <v>362</v>
      </c>
      <c r="H592" s="4" t="s">
        <v>362</v>
      </c>
    </row>
    <row r="593">
      <c r="G593" s="4" t="s">
        <v>362</v>
      </c>
      <c r="H593" s="4" t="s">
        <v>362</v>
      </c>
    </row>
    <row r="594">
      <c r="G594" s="4" t="s">
        <v>362</v>
      </c>
      <c r="H594" s="4" t="s">
        <v>362</v>
      </c>
    </row>
    <row r="595">
      <c r="G595" s="4" t="s">
        <v>362</v>
      </c>
      <c r="H595" s="4" t="s">
        <v>362</v>
      </c>
    </row>
    <row r="596">
      <c r="G596" s="4" t="s">
        <v>362</v>
      </c>
      <c r="H596" s="4" t="s">
        <v>362</v>
      </c>
    </row>
    <row r="597">
      <c r="G597" s="4" t="s">
        <v>362</v>
      </c>
      <c r="H597" s="4" t="s">
        <v>362</v>
      </c>
    </row>
    <row r="598">
      <c r="G598" s="4" t="s">
        <v>362</v>
      </c>
      <c r="H598" s="4" t="s">
        <v>362</v>
      </c>
    </row>
    <row r="599">
      <c r="G599" s="4" t="s">
        <v>362</v>
      </c>
      <c r="H599" s="4" t="s">
        <v>362</v>
      </c>
    </row>
    <row r="600">
      <c r="G600" s="4" t="s">
        <v>362</v>
      </c>
      <c r="H600" s="4" t="s">
        <v>362</v>
      </c>
    </row>
    <row r="601">
      <c r="G601" s="4" t="s">
        <v>362</v>
      </c>
      <c r="H601" s="4" t="s">
        <v>362</v>
      </c>
    </row>
    <row r="602">
      <c r="G602" s="4" t="s">
        <v>362</v>
      </c>
      <c r="H602" s="4" t="s">
        <v>362</v>
      </c>
    </row>
    <row r="603">
      <c r="G603" s="4" t="s">
        <v>362</v>
      </c>
      <c r="H603" s="4" t="s">
        <v>362</v>
      </c>
    </row>
    <row r="604">
      <c r="G604" s="4" t="s">
        <v>362</v>
      </c>
      <c r="H604" s="4" t="s">
        <v>362</v>
      </c>
    </row>
    <row r="605">
      <c r="G605" s="4" t="s">
        <v>362</v>
      </c>
      <c r="H605" s="4" t="s">
        <v>362</v>
      </c>
    </row>
    <row r="606">
      <c r="G606" s="4" t="s">
        <v>362</v>
      </c>
      <c r="H606" s="4" t="s">
        <v>362</v>
      </c>
    </row>
    <row r="607">
      <c r="G607" s="4" t="s">
        <v>362</v>
      </c>
      <c r="H607" s="4" t="s">
        <v>362</v>
      </c>
    </row>
    <row r="608">
      <c r="G608" s="4" t="s">
        <v>362</v>
      </c>
      <c r="H608" s="4" t="s">
        <v>362</v>
      </c>
    </row>
    <row r="609">
      <c r="G609" s="4" t="s">
        <v>362</v>
      </c>
      <c r="H609" s="4" t="s">
        <v>362</v>
      </c>
    </row>
    <row r="610">
      <c r="G610" s="4" t="s">
        <v>362</v>
      </c>
      <c r="H610" s="4" t="s">
        <v>362</v>
      </c>
    </row>
    <row r="611">
      <c r="G611" s="4" t="s">
        <v>362</v>
      </c>
      <c r="H611" s="4" t="s">
        <v>362</v>
      </c>
    </row>
    <row r="612">
      <c r="G612" s="4" t="s">
        <v>362</v>
      </c>
      <c r="H612" s="4" t="s">
        <v>362</v>
      </c>
    </row>
    <row r="613">
      <c r="G613" s="4" t="s">
        <v>362</v>
      </c>
      <c r="H613" s="4" t="s">
        <v>362</v>
      </c>
    </row>
    <row r="614">
      <c r="G614" s="4" t="s">
        <v>362</v>
      </c>
      <c r="H614" s="4" t="s">
        <v>362</v>
      </c>
    </row>
    <row r="615">
      <c r="G615" s="4" t="s">
        <v>362</v>
      </c>
      <c r="H615" s="4" t="s">
        <v>362</v>
      </c>
    </row>
    <row r="616">
      <c r="G616" s="4" t="s">
        <v>362</v>
      </c>
      <c r="H616" s="4" t="s">
        <v>362</v>
      </c>
    </row>
    <row r="617">
      <c r="G617" s="4" t="s">
        <v>362</v>
      </c>
      <c r="H617" s="4" t="s">
        <v>362</v>
      </c>
    </row>
    <row r="618">
      <c r="G618" s="4" t="s">
        <v>362</v>
      </c>
      <c r="H618" s="4" t="s">
        <v>362</v>
      </c>
    </row>
    <row r="619">
      <c r="G619" s="4" t="s">
        <v>362</v>
      </c>
      <c r="H619" s="4" t="s">
        <v>362</v>
      </c>
    </row>
    <row r="620">
      <c r="G620" s="4" t="s">
        <v>362</v>
      </c>
      <c r="H620" s="4" t="s">
        <v>362</v>
      </c>
    </row>
    <row r="621">
      <c r="G621" s="4" t="s">
        <v>362</v>
      </c>
      <c r="H621" s="4" t="s">
        <v>362</v>
      </c>
    </row>
    <row r="622">
      <c r="G622" s="4" t="s">
        <v>362</v>
      </c>
      <c r="H622" s="4" t="s">
        <v>362</v>
      </c>
    </row>
    <row r="623">
      <c r="G623" s="4" t="s">
        <v>362</v>
      </c>
      <c r="H623" s="4" t="s">
        <v>362</v>
      </c>
    </row>
    <row r="624">
      <c r="G624" s="4" t="s">
        <v>362</v>
      </c>
      <c r="H624" s="4" t="s">
        <v>362</v>
      </c>
    </row>
    <row r="625">
      <c r="G625" s="4" t="s">
        <v>362</v>
      </c>
      <c r="H625" s="4" t="s">
        <v>362</v>
      </c>
    </row>
    <row r="626">
      <c r="G626" s="4" t="s">
        <v>362</v>
      </c>
      <c r="H626" s="4" t="s">
        <v>362</v>
      </c>
    </row>
    <row r="627">
      <c r="G627" s="4" t="s">
        <v>362</v>
      </c>
      <c r="H627" s="4" t="s">
        <v>362</v>
      </c>
    </row>
    <row r="628">
      <c r="G628" s="4" t="s">
        <v>362</v>
      </c>
      <c r="H628" s="4" t="s">
        <v>362</v>
      </c>
    </row>
    <row r="629">
      <c r="G629" s="4" t="s">
        <v>362</v>
      </c>
      <c r="H629" s="4" t="s">
        <v>362</v>
      </c>
    </row>
    <row r="630">
      <c r="G630" s="4" t="s">
        <v>362</v>
      </c>
      <c r="H630" s="4" t="s">
        <v>362</v>
      </c>
    </row>
    <row r="631">
      <c r="G631" s="4" t="s">
        <v>362</v>
      </c>
      <c r="H631" s="4" t="s">
        <v>362</v>
      </c>
    </row>
    <row r="632">
      <c r="G632" s="4" t="s">
        <v>362</v>
      </c>
      <c r="H632" s="4" t="s">
        <v>362</v>
      </c>
    </row>
    <row r="633">
      <c r="G633" s="4" t="s">
        <v>362</v>
      </c>
      <c r="H633" s="4" t="s">
        <v>362</v>
      </c>
    </row>
    <row r="634">
      <c r="G634" s="4" t="s">
        <v>362</v>
      </c>
      <c r="H634" s="4" t="s">
        <v>362</v>
      </c>
    </row>
    <row r="635">
      <c r="G635" s="4" t="s">
        <v>362</v>
      </c>
      <c r="H635" s="4" t="s">
        <v>362</v>
      </c>
    </row>
    <row r="636">
      <c r="G636" s="4" t="s">
        <v>362</v>
      </c>
      <c r="H636" s="4" t="s">
        <v>362</v>
      </c>
    </row>
    <row r="637">
      <c r="G637" s="4" t="s">
        <v>362</v>
      </c>
      <c r="H637" s="4" t="s">
        <v>362</v>
      </c>
    </row>
    <row r="638">
      <c r="G638" s="4" t="s">
        <v>362</v>
      </c>
      <c r="H638" s="4" t="s">
        <v>362</v>
      </c>
    </row>
    <row r="639">
      <c r="G639" s="4" t="s">
        <v>362</v>
      </c>
      <c r="H639" s="4" t="s">
        <v>362</v>
      </c>
    </row>
    <row r="640">
      <c r="G640" s="4" t="s">
        <v>362</v>
      </c>
      <c r="H640" s="4" t="s">
        <v>362</v>
      </c>
    </row>
    <row r="641">
      <c r="G641" s="4" t="s">
        <v>362</v>
      </c>
      <c r="H641" s="4" t="s">
        <v>362</v>
      </c>
    </row>
    <row r="642">
      <c r="G642" s="4" t="s">
        <v>362</v>
      </c>
      <c r="H642" s="4" t="s">
        <v>362</v>
      </c>
    </row>
    <row r="643">
      <c r="G643" s="4" t="s">
        <v>362</v>
      </c>
      <c r="H643" s="4" t="s">
        <v>362</v>
      </c>
    </row>
    <row r="644">
      <c r="G644" s="4" t="s">
        <v>362</v>
      </c>
      <c r="H644" s="4" t="s">
        <v>362</v>
      </c>
    </row>
    <row r="645">
      <c r="G645" s="4" t="s">
        <v>362</v>
      </c>
      <c r="H645" s="4" t="s">
        <v>362</v>
      </c>
    </row>
    <row r="646">
      <c r="G646" s="4" t="s">
        <v>362</v>
      </c>
      <c r="H646" s="4" t="s">
        <v>362</v>
      </c>
    </row>
    <row r="647">
      <c r="G647" s="4" t="s">
        <v>362</v>
      </c>
      <c r="H647" s="4" t="s">
        <v>362</v>
      </c>
    </row>
    <row r="648">
      <c r="G648" s="4" t="s">
        <v>362</v>
      </c>
      <c r="H648" s="4" t="s">
        <v>362</v>
      </c>
    </row>
    <row r="649">
      <c r="G649" s="4" t="s">
        <v>362</v>
      </c>
      <c r="H649" s="4" t="s">
        <v>362</v>
      </c>
    </row>
    <row r="650">
      <c r="G650" s="4" t="s">
        <v>362</v>
      </c>
      <c r="H650" s="4" t="s">
        <v>362</v>
      </c>
    </row>
    <row r="651">
      <c r="G651" s="4" t="s">
        <v>362</v>
      </c>
      <c r="H651" s="4" t="s">
        <v>362</v>
      </c>
    </row>
    <row r="652">
      <c r="G652" s="4" t="s">
        <v>362</v>
      </c>
      <c r="H652" s="4" t="s">
        <v>362</v>
      </c>
    </row>
    <row r="653">
      <c r="G653" s="4" t="s">
        <v>362</v>
      </c>
      <c r="H653" s="4" t="s">
        <v>362</v>
      </c>
    </row>
    <row r="654">
      <c r="G654" s="4" t="s">
        <v>362</v>
      </c>
      <c r="H654" s="4" t="s">
        <v>362</v>
      </c>
    </row>
    <row r="655">
      <c r="G655" s="4" t="s">
        <v>362</v>
      </c>
      <c r="H655" s="4" t="s">
        <v>362</v>
      </c>
    </row>
    <row r="656">
      <c r="G656" s="4" t="s">
        <v>362</v>
      </c>
      <c r="H656" s="4" t="s">
        <v>362</v>
      </c>
    </row>
    <row r="657">
      <c r="G657" s="4" t="s">
        <v>362</v>
      </c>
      <c r="H657" s="4" t="s">
        <v>362</v>
      </c>
    </row>
    <row r="658">
      <c r="G658" s="4" t="s">
        <v>362</v>
      </c>
      <c r="H658" s="4" t="s">
        <v>362</v>
      </c>
    </row>
    <row r="659">
      <c r="G659" s="4" t="s">
        <v>362</v>
      </c>
      <c r="H659" s="4" t="s">
        <v>362</v>
      </c>
    </row>
    <row r="660">
      <c r="G660" s="4" t="s">
        <v>362</v>
      </c>
      <c r="H660" s="4" t="s">
        <v>362</v>
      </c>
    </row>
    <row r="661">
      <c r="G661" s="4" t="s">
        <v>362</v>
      </c>
      <c r="H661" s="4" t="s">
        <v>362</v>
      </c>
    </row>
    <row r="662">
      <c r="G662" s="4" t="s">
        <v>362</v>
      </c>
      <c r="H662" s="4" t="s">
        <v>362</v>
      </c>
    </row>
    <row r="663">
      <c r="G663" s="4" t="s">
        <v>362</v>
      </c>
      <c r="H663" s="4" t="s">
        <v>362</v>
      </c>
    </row>
    <row r="664">
      <c r="G664" s="4" t="s">
        <v>362</v>
      </c>
      <c r="H664" s="4" t="s">
        <v>362</v>
      </c>
    </row>
    <row r="665">
      <c r="G665" s="4" t="s">
        <v>362</v>
      </c>
      <c r="H665" s="4" t="s">
        <v>362</v>
      </c>
    </row>
    <row r="666">
      <c r="G666" s="4" t="s">
        <v>362</v>
      </c>
      <c r="H666" s="4" t="s">
        <v>362</v>
      </c>
    </row>
    <row r="667">
      <c r="G667" s="4" t="s">
        <v>362</v>
      </c>
      <c r="H667" s="4" t="s">
        <v>362</v>
      </c>
    </row>
    <row r="668">
      <c r="G668" s="4" t="s">
        <v>362</v>
      </c>
      <c r="H668" s="4" t="s">
        <v>362</v>
      </c>
    </row>
    <row r="669">
      <c r="G669" s="4" t="s">
        <v>362</v>
      </c>
      <c r="H669" s="4" t="s">
        <v>362</v>
      </c>
    </row>
    <row r="670">
      <c r="G670" s="4" t="s">
        <v>362</v>
      </c>
      <c r="H670" s="4" t="s">
        <v>362</v>
      </c>
    </row>
    <row r="671">
      <c r="G671" s="4" t="s">
        <v>362</v>
      </c>
      <c r="H671" s="4" t="s">
        <v>362</v>
      </c>
    </row>
    <row r="672">
      <c r="G672" s="4" t="s">
        <v>362</v>
      </c>
      <c r="H672" s="4" t="s">
        <v>362</v>
      </c>
    </row>
    <row r="673">
      <c r="G673" s="4" t="s">
        <v>362</v>
      </c>
      <c r="H673" s="4" t="s">
        <v>362</v>
      </c>
    </row>
    <row r="674">
      <c r="G674" s="4" t="s">
        <v>362</v>
      </c>
      <c r="H674" s="4" t="s">
        <v>362</v>
      </c>
    </row>
    <row r="675">
      <c r="G675" s="4" t="s">
        <v>362</v>
      </c>
      <c r="H675" s="4" t="s">
        <v>362</v>
      </c>
    </row>
    <row r="676">
      <c r="G676" s="4" t="s">
        <v>362</v>
      </c>
      <c r="H676" s="4" t="s">
        <v>362</v>
      </c>
    </row>
    <row r="677">
      <c r="G677" s="4" t="s">
        <v>362</v>
      </c>
      <c r="H677" s="4" t="s">
        <v>362</v>
      </c>
    </row>
    <row r="678">
      <c r="G678" s="4" t="s">
        <v>362</v>
      </c>
      <c r="H678" s="4" t="s">
        <v>362</v>
      </c>
    </row>
    <row r="679">
      <c r="G679" s="4" t="s">
        <v>362</v>
      </c>
      <c r="H679" s="4" t="s">
        <v>362</v>
      </c>
    </row>
    <row r="680">
      <c r="G680" s="4" t="s">
        <v>362</v>
      </c>
      <c r="H680" s="4" t="s">
        <v>362</v>
      </c>
    </row>
    <row r="681">
      <c r="G681" s="4" t="s">
        <v>362</v>
      </c>
      <c r="H681" s="4" t="s">
        <v>362</v>
      </c>
    </row>
    <row r="682">
      <c r="G682" s="4" t="s">
        <v>362</v>
      </c>
      <c r="H682" s="4" t="s">
        <v>362</v>
      </c>
    </row>
    <row r="683">
      <c r="G683" s="4" t="s">
        <v>362</v>
      </c>
      <c r="H683" s="4" t="s">
        <v>362</v>
      </c>
    </row>
    <row r="684">
      <c r="G684" s="4" t="s">
        <v>362</v>
      </c>
      <c r="H684" s="4" t="s">
        <v>362</v>
      </c>
    </row>
    <row r="685">
      <c r="G685" s="4" t="s">
        <v>362</v>
      </c>
      <c r="H685" s="4" t="s">
        <v>362</v>
      </c>
    </row>
    <row r="686">
      <c r="G686" s="4" t="s">
        <v>362</v>
      </c>
      <c r="H686" s="4" t="s">
        <v>362</v>
      </c>
    </row>
    <row r="687">
      <c r="G687" s="4" t="s">
        <v>362</v>
      </c>
      <c r="H687" s="4" t="s">
        <v>362</v>
      </c>
    </row>
    <row r="688">
      <c r="G688" s="4" t="s">
        <v>362</v>
      </c>
      <c r="H688" s="4" t="s">
        <v>362</v>
      </c>
    </row>
    <row r="689">
      <c r="G689" s="4" t="s">
        <v>362</v>
      </c>
      <c r="H689" s="4" t="s">
        <v>362</v>
      </c>
    </row>
    <row r="690">
      <c r="G690" s="4" t="s">
        <v>362</v>
      </c>
      <c r="H690" s="4" t="s">
        <v>362</v>
      </c>
    </row>
    <row r="691">
      <c r="G691" s="4" t="s">
        <v>362</v>
      </c>
      <c r="H691" s="4" t="s">
        <v>362</v>
      </c>
    </row>
    <row r="692">
      <c r="G692" s="4" t="s">
        <v>362</v>
      </c>
      <c r="H692" s="4" t="s">
        <v>362</v>
      </c>
    </row>
    <row r="693">
      <c r="G693" s="4" t="s">
        <v>362</v>
      </c>
      <c r="H693" s="4" t="s">
        <v>362</v>
      </c>
    </row>
    <row r="694">
      <c r="G694" s="4" t="s">
        <v>362</v>
      </c>
      <c r="H694" s="4" t="s">
        <v>362</v>
      </c>
    </row>
    <row r="695">
      <c r="G695" s="4" t="s">
        <v>362</v>
      </c>
      <c r="H695" s="4" t="s">
        <v>362</v>
      </c>
    </row>
    <row r="696">
      <c r="G696" s="4" t="s">
        <v>362</v>
      </c>
      <c r="H696" s="4" t="s">
        <v>362</v>
      </c>
    </row>
    <row r="697">
      <c r="G697" s="4" t="s">
        <v>362</v>
      </c>
      <c r="H697" s="4" t="s">
        <v>362</v>
      </c>
    </row>
    <row r="698">
      <c r="G698" s="4" t="s">
        <v>362</v>
      </c>
      <c r="H698" s="4" t="s">
        <v>362</v>
      </c>
    </row>
    <row r="699">
      <c r="G699" s="4" t="s">
        <v>362</v>
      </c>
      <c r="H699" s="4" t="s">
        <v>362</v>
      </c>
    </row>
    <row r="700">
      <c r="G700" s="4" t="s">
        <v>362</v>
      </c>
      <c r="H700" s="4" t="s">
        <v>362</v>
      </c>
    </row>
    <row r="701">
      <c r="G701" s="4" t="s">
        <v>362</v>
      </c>
      <c r="H701" s="4" t="s">
        <v>362</v>
      </c>
    </row>
    <row r="702">
      <c r="G702" s="4" t="s">
        <v>362</v>
      </c>
      <c r="H702" s="4" t="s">
        <v>362</v>
      </c>
    </row>
    <row r="703">
      <c r="G703" s="4" t="s">
        <v>362</v>
      </c>
      <c r="H703" s="4" t="s">
        <v>362</v>
      </c>
    </row>
    <row r="704">
      <c r="G704" s="4" t="s">
        <v>362</v>
      </c>
      <c r="H704" s="4" t="s">
        <v>362</v>
      </c>
    </row>
    <row r="705">
      <c r="G705" s="4" t="s">
        <v>362</v>
      </c>
      <c r="H705" s="4" t="s">
        <v>362</v>
      </c>
    </row>
    <row r="706">
      <c r="G706" s="4" t="s">
        <v>362</v>
      </c>
      <c r="H706" s="4" t="s">
        <v>362</v>
      </c>
    </row>
    <row r="707">
      <c r="G707" s="4" t="s">
        <v>362</v>
      </c>
      <c r="H707" s="4" t="s">
        <v>362</v>
      </c>
    </row>
    <row r="708">
      <c r="G708" s="4" t="s">
        <v>362</v>
      </c>
      <c r="H708" s="4" t="s">
        <v>362</v>
      </c>
    </row>
    <row r="709">
      <c r="G709" s="4" t="s">
        <v>362</v>
      </c>
      <c r="H709" s="4" t="s">
        <v>362</v>
      </c>
    </row>
    <row r="710">
      <c r="G710" s="4" t="s">
        <v>362</v>
      </c>
      <c r="H710" s="4" t="s">
        <v>362</v>
      </c>
    </row>
    <row r="711">
      <c r="G711" s="4" t="s">
        <v>362</v>
      </c>
      <c r="H711" s="4" t="s">
        <v>362</v>
      </c>
    </row>
    <row r="712">
      <c r="G712" s="4" t="s">
        <v>362</v>
      </c>
      <c r="H712" s="4" t="s">
        <v>362</v>
      </c>
    </row>
    <row r="713">
      <c r="G713" s="4" t="s">
        <v>362</v>
      </c>
      <c r="H713" s="4" t="s">
        <v>362</v>
      </c>
    </row>
    <row r="714">
      <c r="G714" s="4" t="s">
        <v>362</v>
      </c>
      <c r="H714" s="4" t="s">
        <v>362</v>
      </c>
    </row>
    <row r="715">
      <c r="G715" s="4" t="s">
        <v>362</v>
      </c>
      <c r="H715" s="4" t="s">
        <v>362</v>
      </c>
    </row>
    <row r="716">
      <c r="G716" s="4" t="s">
        <v>362</v>
      </c>
      <c r="H716" s="4" t="s">
        <v>362</v>
      </c>
    </row>
    <row r="717">
      <c r="G717" s="4" t="s">
        <v>362</v>
      </c>
      <c r="H717" s="4" t="s">
        <v>362</v>
      </c>
    </row>
    <row r="718">
      <c r="G718" s="4" t="s">
        <v>362</v>
      </c>
      <c r="H718" s="4" t="s">
        <v>362</v>
      </c>
    </row>
    <row r="719">
      <c r="G719" s="4" t="s">
        <v>362</v>
      </c>
      <c r="H719" s="4" t="s">
        <v>362</v>
      </c>
    </row>
    <row r="720">
      <c r="G720" s="4" t="s">
        <v>362</v>
      </c>
      <c r="H720" s="4" t="s">
        <v>362</v>
      </c>
    </row>
    <row r="721">
      <c r="G721" s="4" t="s">
        <v>362</v>
      </c>
      <c r="H721" s="4" t="s">
        <v>362</v>
      </c>
    </row>
    <row r="722">
      <c r="G722" s="4" t="s">
        <v>362</v>
      </c>
      <c r="H722" s="4" t="s">
        <v>362</v>
      </c>
    </row>
    <row r="723">
      <c r="G723" s="4" t="s">
        <v>362</v>
      </c>
      <c r="H723" s="4" t="s">
        <v>362</v>
      </c>
    </row>
    <row r="724">
      <c r="G724" s="4" t="s">
        <v>362</v>
      </c>
      <c r="H724" s="4" t="s">
        <v>362</v>
      </c>
    </row>
    <row r="725">
      <c r="G725" s="4" t="s">
        <v>362</v>
      </c>
      <c r="H725" s="4" t="s">
        <v>362</v>
      </c>
    </row>
    <row r="726">
      <c r="G726" s="4" t="s">
        <v>362</v>
      </c>
      <c r="H726" s="4" t="s">
        <v>362</v>
      </c>
    </row>
    <row r="727">
      <c r="G727" s="4" t="s">
        <v>362</v>
      </c>
      <c r="H727" s="4" t="s">
        <v>362</v>
      </c>
    </row>
    <row r="728">
      <c r="G728" s="4" t="s">
        <v>362</v>
      </c>
      <c r="H728" s="4" t="s">
        <v>362</v>
      </c>
    </row>
    <row r="729">
      <c r="G729" s="4" t="s">
        <v>362</v>
      </c>
      <c r="H729" s="4" t="s">
        <v>362</v>
      </c>
    </row>
    <row r="730">
      <c r="G730" s="4" t="s">
        <v>362</v>
      </c>
      <c r="H730" s="4" t="s">
        <v>362</v>
      </c>
    </row>
    <row r="731">
      <c r="G731" s="4" t="s">
        <v>362</v>
      </c>
      <c r="H731" s="4" t="s">
        <v>362</v>
      </c>
    </row>
    <row r="732">
      <c r="G732" s="4" t="s">
        <v>362</v>
      </c>
      <c r="H732" s="4" t="s">
        <v>362</v>
      </c>
    </row>
    <row r="733">
      <c r="G733" s="4" t="s">
        <v>362</v>
      </c>
      <c r="H733" s="4" t="s">
        <v>362</v>
      </c>
    </row>
    <row r="734">
      <c r="G734" s="4" t="s">
        <v>362</v>
      </c>
      <c r="H734" s="4" t="s">
        <v>362</v>
      </c>
    </row>
    <row r="735">
      <c r="G735" s="4" t="s">
        <v>362</v>
      </c>
      <c r="H735" s="4" t="s">
        <v>362</v>
      </c>
    </row>
    <row r="736">
      <c r="G736" s="4" t="s">
        <v>362</v>
      </c>
      <c r="H736" s="4" t="s">
        <v>362</v>
      </c>
    </row>
    <row r="737">
      <c r="G737" s="4" t="s">
        <v>362</v>
      </c>
      <c r="H737" s="4" t="s">
        <v>362</v>
      </c>
    </row>
    <row r="738">
      <c r="G738" s="4" t="s">
        <v>362</v>
      </c>
      <c r="H738" s="4" t="s">
        <v>362</v>
      </c>
    </row>
    <row r="739">
      <c r="G739" s="4" t="s">
        <v>362</v>
      </c>
      <c r="H739" s="4" t="s">
        <v>362</v>
      </c>
    </row>
    <row r="740">
      <c r="G740" s="4" t="s">
        <v>362</v>
      </c>
      <c r="H740" s="4" t="s">
        <v>362</v>
      </c>
    </row>
    <row r="741">
      <c r="G741" s="4" t="s">
        <v>362</v>
      </c>
      <c r="H741" s="4" t="s">
        <v>362</v>
      </c>
    </row>
    <row r="742">
      <c r="G742" s="4" t="s">
        <v>362</v>
      </c>
      <c r="H742" s="4" t="s">
        <v>362</v>
      </c>
    </row>
    <row r="743">
      <c r="G743" s="4" t="s">
        <v>362</v>
      </c>
      <c r="H743" s="4" t="s">
        <v>362</v>
      </c>
    </row>
    <row r="744">
      <c r="G744" s="4" t="s">
        <v>362</v>
      </c>
      <c r="H744" s="4" t="s">
        <v>362</v>
      </c>
    </row>
    <row r="745">
      <c r="G745" s="4" t="s">
        <v>362</v>
      </c>
      <c r="H745" s="4" t="s">
        <v>362</v>
      </c>
    </row>
    <row r="746">
      <c r="G746" s="4" t="s">
        <v>362</v>
      </c>
      <c r="H746" s="4" t="s">
        <v>362</v>
      </c>
    </row>
    <row r="747">
      <c r="G747" s="4" t="s">
        <v>362</v>
      </c>
      <c r="H747" s="4" t="s">
        <v>362</v>
      </c>
    </row>
    <row r="748">
      <c r="G748" s="4" t="s">
        <v>362</v>
      </c>
      <c r="H748" s="4" t="s">
        <v>362</v>
      </c>
    </row>
    <row r="749">
      <c r="G749" s="4" t="s">
        <v>362</v>
      </c>
      <c r="H749" s="4" t="s">
        <v>362</v>
      </c>
    </row>
    <row r="750">
      <c r="G750" s="4" t="s">
        <v>362</v>
      </c>
      <c r="H750" s="4" t="s">
        <v>362</v>
      </c>
    </row>
    <row r="751">
      <c r="G751" s="4" t="s">
        <v>362</v>
      </c>
      <c r="H751" s="4" t="s">
        <v>362</v>
      </c>
    </row>
    <row r="752">
      <c r="G752" s="4" t="s">
        <v>362</v>
      </c>
      <c r="H752" s="4" t="s">
        <v>362</v>
      </c>
    </row>
    <row r="753">
      <c r="G753" s="4" t="s">
        <v>362</v>
      </c>
      <c r="H753" s="4" t="s">
        <v>362</v>
      </c>
    </row>
    <row r="754">
      <c r="G754" s="4" t="s">
        <v>362</v>
      </c>
      <c r="H754" s="4" t="s">
        <v>362</v>
      </c>
    </row>
    <row r="755">
      <c r="G755" s="4" t="s">
        <v>362</v>
      </c>
      <c r="H755" s="4" t="s">
        <v>362</v>
      </c>
    </row>
    <row r="756">
      <c r="G756" s="4" t="s">
        <v>362</v>
      </c>
      <c r="H756" s="4" t="s">
        <v>362</v>
      </c>
    </row>
    <row r="757">
      <c r="G757" s="4" t="s">
        <v>362</v>
      </c>
      <c r="H757" s="4" t="s">
        <v>362</v>
      </c>
    </row>
    <row r="758">
      <c r="G758" s="4" t="s">
        <v>362</v>
      </c>
      <c r="H758" s="4" t="s">
        <v>362</v>
      </c>
    </row>
    <row r="759">
      <c r="G759" s="4" t="s">
        <v>362</v>
      </c>
      <c r="H759" s="4" t="s">
        <v>362</v>
      </c>
    </row>
    <row r="760">
      <c r="G760" s="4" t="s">
        <v>362</v>
      </c>
      <c r="H760" s="4" t="s">
        <v>362</v>
      </c>
    </row>
    <row r="761">
      <c r="G761" s="4" t="s">
        <v>362</v>
      </c>
      <c r="H761" s="4" t="s">
        <v>362</v>
      </c>
    </row>
    <row r="762">
      <c r="G762" s="4" t="s">
        <v>362</v>
      </c>
      <c r="H762" s="4" t="s">
        <v>362</v>
      </c>
    </row>
    <row r="763">
      <c r="G763" s="4" t="s">
        <v>362</v>
      </c>
      <c r="H763" s="4" t="s">
        <v>362</v>
      </c>
    </row>
    <row r="764">
      <c r="G764" s="4" t="s">
        <v>362</v>
      </c>
      <c r="H764" s="4" t="s">
        <v>362</v>
      </c>
    </row>
    <row r="765">
      <c r="G765" s="4" t="s">
        <v>362</v>
      </c>
      <c r="H765" s="4" t="s">
        <v>362</v>
      </c>
    </row>
    <row r="766">
      <c r="G766" s="4" t="s">
        <v>362</v>
      </c>
      <c r="H766" s="4" t="s">
        <v>362</v>
      </c>
    </row>
    <row r="767">
      <c r="G767" s="4" t="s">
        <v>362</v>
      </c>
      <c r="H767" s="4" t="s">
        <v>362</v>
      </c>
    </row>
    <row r="768">
      <c r="G768" s="4" t="s">
        <v>362</v>
      </c>
      <c r="H768" s="4" t="s">
        <v>362</v>
      </c>
    </row>
    <row r="769">
      <c r="G769" s="4" t="s">
        <v>362</v>
      </c>
      <c r="H769" s="4" t="s">
        <v>362</v>
      </c>
    </row>
    <row r="770">
      <c r="G770" s="4" t="s">
        <v>362</v>
      </c>
      <c r="H770" s="4" t="s">
        <v>362</v>
      </c>
    </row>
    <row r="771">
      <c r="G771" s="4" t="s">
        <v>362</v>
      </c>
      <c r="H771" s="4" t="s">
        <v>362</v>
      </c>
    </row>
    <row r="772">
      <c r="G772" s="4" t="s">
        <v>362</v>
      </c>
      <c r="H772" s="4" t="s">
        <v>362</v>
      </c>
    </row>
    <row r="773">
      <c r="G773" s="4" t="s">
        <v>362</v>
      </c>
      <c r="H773" s="4" t="s">
        <v>362</v>
      </c>
    </row>
    <row r="774">
      <c r="G774" s="4" t="s">
        <v>362</v>
      </c>
      <c r="H774" s="4" t="s">
        <v>362</v>
      </c>
    </row>
    <row r="775">
      <c r="G775" s="4" t="s">
        <v>362</v>
      </c>
      <c r="H775" s="4" t="s">
        <v>362</v>
      </c>
    </row>
    <row r="776">
      <c r="G776" s="4" t="s">
        <v>362</v>
      </c>
      <c r="H776" s="4" t="s">
        <v>362</v>
      </c>
    </row>
    <row r="777">
      <c r="G777" s="4" t="s">
        <v>362</v>
      </c>
      <c r="H777" s="4" t="s">
        <v>362</v>
      </c>
    </row>
    <row r="778">
      <c r="G778" s="4" t="s">
        <v>362</v>
      </c>
      <c r="H778" s="4" t="s">
        <v>362</v>
      </c>
    </row>
    <row r="779">
      <c r="G779" s="4" t="s">
        <v>362</v>
      </c>
      <c r="H779" s="4" t="s">
        <v>362</v>
      </c>
    </row>
    <row r="780">
      <c r="G780" s="4" t="s">
        <v>362</v>
      </c>
      <c r="H780" s="4" t="s">
        <v>362</v>
      </c>
    </row>
    <row r="781">
      <c r="G781" s="4" t="s">
        <v>362</v>
      </c>
      <c r="H781" s="4" t="s">
        <v>362</v>
      </c>
    </row>
    <row r="782">
      <c r="G782" s="4" t="s">
        <v>362</v>
      </c>
      <c r="H782" s="4" t="s">
        <v>362</v>
      </c>
    </row>
    <row r="783">
      <c r="G783" s="4" t="s">
        <v>362</v>
      </c>
      <c r="H783" s="4" t="s">
        <v>362</v>
      </c>
    </row>
    <row r="784">
      <c r="G784" s="4" t="s">
        <v>362</v>
      </c>
      <c r="H784" s="4" t="s">
        <v>362</v>
      </c>
    </row>
    <row r="785">
      <c r="G785" s="4" t="s">
        <v>362</v>
      </c>
      <c r="H785" s="4" t="s">
        <v>362</v>
      </c>
    </row>
    <row r="786">
      <c r="G786" s="4" t="s">
        <v>362</v>
      </c>
      <c r="H786" s="4" t="s">
        <v>362</v>
      </c>
    </row>
    <row r="787">
      <c r="G787" s="4" t="s">
        <v>362</v>
      </c>
      <c r="H787" s="4" t="s">
        <v>362</v>
      </c>
    </row>
    <row r="788">
      <c r="G788" s="4" t="s">
        <v>362</v>
      </c>
      <c r="H788" s="4" t="s">
        <v>362</v>
      </c>
    </row>
    <row r="789">
      <c r="G789" s="4" t="s">
        <v>362</v>
      </c>
      <c r="H789" s="4" t="s">
        <v>362</v>
      </c>
    </row>
    <row r="790">
      <c r="G790" s="4" t="s">
        <v>362</v>
      </c>
      <c r="H790" s="4" t="s">
        <v>362</v>
      </c>
    </row>
    <row r="791">
      <c r="G791" s="4" t="s">
        <v>362</v>
      </c>
      <c r="H791" s="4" t="s">
        <v>362</v>
      </c>
    </row>
    <row r="792">
      <c r="G792" s="4" t="s">
        <v>362</v>
      </c>
      <c r="H792" s="4" t="s">
        <v>362</v>
      </c>
    </row>
    <row r="793">
      <c r="G793" s="4" t="s">
        <v>362</v>
      </c>
      <c r="H793" s="4" t="s">
        <v>362</v>
      </c>
    </row>
    <row r="794">
      <c r="G794" s="4" t="s">
        <v>362</v>
      </c>
      <c r="H794" s="4" t="s">
        <v>362</v>
      </c>
    </row>
    <row r="795">
      <c r="G795" s="4" t="s">
        <v>362</v>
      </c>
      <c r="H795" s="4" t="s">
        <v>362</v>
      </c>
    </row>
    <row r="796">
      <c r="G796" s="4" t="s">
        <v>362</v>
      </c>
      <c r="H796" s="4" t="s">
        <v>362</v>
      </c>
    </row>
    <row r="797">
      <c r="G797" s="4" t="s">
        <v>362</v>
      </c>
      <c r="H797" s="4" t="s">
        <v>362</v>
      </c>
    </row>
    <row r="798">
      <c r="G798" s="4" t="s">
        <v>362</v>
      </c>
      <c r="H798" s="4" t="s">
        <v>362</v>
      </c>
    </row>
    <row r="799">
      <c r="G799" s="4" t="s">
        <v>362</v>
      </c>
      <c r="H799" s="4" t="s">
        <v>362</v>
      </c>
    </row>
    <row r="800">
      <c r="G800" s="4" t="s">
        <v>362</v>
      </c>
      <c r="H800" s="4" t="s">
        <v>362</v>
      </c>
    </row>
    <row r="801">
      <c r="G801" s="4" t="s">
        <v>362</v>
      </c>
      <c r="H801" s="4" t="s">
        <v>362</v>
      </c>
    </row>
    <row r="802">
      <c r="G802" s="4" t="s">
        <v>362</v>
      </c>
      <c r="H802" s="4" t="s">
        <v>362</v>
      </c>
    </row>
    <row r="803">
      <c r="G803" s="4" t="s">
        <v>362</v>
      </c>
      <c r="H803" s="4" t="s">
        <v>362</v>
      </c>
    </row>
    <row r="804">
      <c r="G804" s="4" t="s">
        <v>362</v>
      </c>
      <c r="H804" s="4" t="s">
        <v>362</v>
      </c>
    </row>
    <row r="805">
      <c r="G805" s="4" t="s">
        <v>362</v>
      </c>
      <c r="H805" s="4" t="s">
        <v>362</v>
      </c>
    </row>
    <row r="806">
      <c r="G806" s="4" t="s">
        <v>362</v>
      </c>
      <c r="H806" s="4" t="s">
        <v>362</v>
      </c>
    </row>
    <row r="807">
      <c r="G807" s="4" t="s">
        <v>362</v>
      </c>
      <c r="H807" s="4" t="s">
        <v>362</v>
      </c>
    </row>
    <row r="808">
      <c r="G808" s="4" t="s">
        <v>362</v>
      </c>
      <c r="H808" s="4" t="s">
        <v>362</v>
      </c>
    </row>
    <row r="809">
      <c r="G809" s="4" t="s">
        <v>362</v>
      </c>
      <c r="H809" s="4" t="s">
        <v>362</v>
      </c>
    </row>
    <row r="810">
      <c r="G810" s="4" t="s">
        <v>362</v>
      </c>
      <c r="H810" s="4" t="s">
        <v>362</v>
      </c>
    </row>
    <row r="811">
      <c r="G811" s="4" t="s">
        <v>362</v>
      </c>
      <c r="H811" s="4" t="s">
        <v>362</v>
      </c>
    </row>
    <row r="812">
      <c r="G812" s="4" t="s">
        <v>362</v>
      </c>
      <c r="H812" s="4" t="s">
        <v>362</v>
      </c>
    </row>
    <row r="813">
      <c r="G813" s="4" t="s">
        <v>362</v>
      </c>
      <c r="H813" s="4" t="s">
        <v>362</v>
      </c>
    </row>
    <row r="814">
      <c r="G814" s="4" t="s">
        <v>362</v>
      </c>
      <c r="H814" s="4" t="s">
        <v>362</v>
      </c>
    </row>
    <row r="815">
      <c r="G815" s="4" t="s">
        <v>362</v>
      </c>
      <c r="H815" s="4" t="s">
        <v>362</v>
      </c>
    </row>
    <row r="816">
      <c r="G816" s="4" t="s">
        <v>362</v>
      </c>
      <c r="H816" s="4" t="s">
        <v>362</v>
      </c>
    </row>
    <row r="817">
      <c r="G817" s="4" t="s">
        <v>362</v>
      </c>
      <c r="H817" s="4" t="s">
        <v>362</v>
      </c>
    </row>
    <row r="818">
      <c r="G818" s="4" t="s">
        <v>362</v>
      </c>
      <c r="H818" s="4" t="s">
        <v>362</v>
      </c>
    </row>
    <row r="819">
      <c r="G819" s="4" t="s">
        <v>362</v>
      </c>
      <c r="H819" s="4" t="s">
        <v>362</v>
      </c>
    </row>
    <row r="820">
      <c r="G820" s="4" t="s">
        <v>362</v>
      </c>
      <c r="H820" s="4" t="s">
        <v>362</v>
      </c>
    </row>
    <row r="821">
      <c r="G821" s="4" t="s">
        <v>362</v>
      </c>
      <c r="H821" s="4" t="s">
        <v>362</v>
      </c>
    </row>
    <row r="822">
      <c r="G822" s="4" t="s">
        <v>362</v>
      </c>
      <c r="H822" s="4" t="s">
        <v>362</v>
      </c>
    </row>
    <row r="823">
      <c r="G823" s="4" t="s">
        <v>362</v>
      </c>
      <c r="H823" s="4" t="s">
        <v>362</v>
      </c>
    </row>
    <row r="824">
      <c r="G824" s="4" t="s">
        <v>362</v>
      </c>
      <c r="H824" s="4" t="s">
        <v>362</v>
      </c>
    </row>
    <row r="825">
      <c r="G825" s="4" t="s">
        <v>362</v>
      </c>
      <c r="H825" s="4" t="s">
        <v>362</v>
      </c>
    </row>
    <row r="826">
      <c r="G826" s="4" t="s">
        <v>362</v>
      </c>
      <c r="H826" s="4" t="s">
        <v>362</v>
      </c>
    </row>
    <row r="827">
      <c r="G827" s="4" t="s">
        <v>362</v>
      </c>
      <c r="H827" s="4" t="s">
        <v>362</v>
      </c>
    </row>
    <row r="828">
      <c r="G828" s="4" t="s">
        <v>362</v>
      </c>
      <c r="H828" s="4" t="s">
        <v>362</v>
      </c>
    </row>
    <row r="829">
      <c r="G829" s="4" t="s">
        <v>362</v>
      </c>
      <c r="H829" s="4" t="s">
        <v>362</v>
      </c>
    </row>
    <row r="830">
      <c r="G830" s="4" t="s">
        <v>362</v>
      </c>
      <c r="H830" s="4" t="s">
        <v>362</v>
      </c>
    </row>
    <row r="831">
      <c r="G831" s="4" t="s">
        <v>362</v>
      </c>
      <c r="H831" s="4" t="s">
        <v>362</v>
      </c>
    </row>
    <row r="832">
      <c r="G832" s="4" t="s">
        <v>362</v>
      </c>
      <c r="H832" s="4" t="s">
        <v>362</v>
      </c>
    </row>
    <row r="833">
      <c r="G833" s="4" t="s">
        <v>362</v>
      </c>
      <c r="H833" s="4" t="s">
        <v>362</v>
      </c>
    </row>
    <row r="834">
      <c r="G834" s="4" t="s">
        <v>362</v>
      </c>
      <c r="H834" s="4" t="s">
        <v>362</v>
      </c>
    </row>
    <row r="835">
      <c r="G835" s="4" t="s">
        <v>362</v>
      </c>
      <c r="H835" s="4" t="s">
        <v>362</v>
      </c>
    </row>
    <row r="836">
      <c r="G836" s="4" t="s">
        <v>362</v>
      </c>
      <c r="H836" s="4" t="s">
        <v>362</v>
      </c>
    </row>
    <row r="837">
      <c r="G837" s="4" t="s">
        <v>362</v>
      </c>
      <c r="H837" s="4" t="s">
        <v>362</v>
      </c>
    </row>
    <row r="838">
      <c r="G838" s="4" t="s">
        <v>362</v>
      </c>
      <c r="H838" s="4" t="s">
        <v>362</v>
      </c>
    </row>
    <row r="839">
      <c r="G839" s="4" t="s">
        <v>362</v>
      </c>
      <c r="H839" s="4" t="s">
        <v>362</v>
      </c>
    </row>
    <row r="840">
      <c r="G840" s="4" t="s">
        <v>362</v>
      </c>
      <c r="H840" s="4" t="s">
        <v>362</v>
      </c>
    </row>
    <row r="841">
      <c r="G841" s="4" t="s">
        <v>362</v>
      </c>
      <c r="H841" s="4" t="s">
        <v>362</v>
      </c>
    </row>
    <row r="842">
      <c r="G842" s="4" t="s">
        <v>362</v>
      </c>
      <c r="H842" s="4" t="s">
        <v>362</v>
      </c>
    </row>
    <row r="843">
      <c r="G843" s="4" t="s">
        <v>362</v>
      </c>
      <c r="H843" s="4" t="s">
        <v>362</v>
      </c>
    </row>
    <row r="844">
      <c r="G844" s="4" t="s">
        <v>362</v>
      </c>
      <c r="H844" s="4" t="s">
        <v>362</v>
      </c>
    </row>
    <row r="845">
      <c r="G845" s="4" t="s">
        <v>362</v>
      </c>
      <c r="H845" s="4" t="s">
        <v>362</v>
      </c>
    </row>
    <row r="846">
      <c r="G846" s="4" t="s">
        <v>362</v>
      </c>
      <c r="H846" s="4" t="s">
        <v>362</v>
      </c>
    </row>
    <row r="847">
      <c r="G847" s="4" t="s">
        <v>362</v>
      </c>
      <c r="H847" s="4" t="s">
        <v>362</v>
      </c>
    </row>
    <row r="848">
      <c r="G848" s="4" t="s">
        <v>362</v>
      </c>
      <c r="H848" s="4" t="s">
        <v>362</v>
      </c>
    </row>
    <row r="849">
      <c r="G849" s="4" t="s">
        <v>362</v>
      </c>
      <c r="H849" s="4" t="s">
        <v>362</v>
      </c>
    </row>
    <row r="850">
      <c r="G850" s="4" t="s">
        <v>362</v>
      </c>
      <c r="H850" s="4" t="s">
        <v>362</v>
      </c>
    </row>
    <row r="851">
      <c r="G851" s="4" t="s">
        <v>362</v>
      </c>
      <c r="H851" s="4" t="s">
        <v>362</v>
      </c>
    </row>
    <row r="852">
      <c r="G852" s="4" t="s">
        <v>362</v>
      </c>
      <c r="H852" s="4" t="s">
        <v>362</v>
      </c>
    </row>
    <row r="853">
      <c r="G853" s="4" t="s">
        <v>362</v>
      </c>
      <c r="H853" s="4" t="s">
        <v>362</v>
      </c>
    </row>
    <row r="854">
      <c r="G854" s="4" t="s">
        <v>362</v>
      </c>
      <c r="H854" s="4" t="s">
        <v>362</v>
      </c>
    </row>
    <row r="855">
      <c r="G855" s="4" t="s">
        <v>362</v>
      </c>
      <c r="H855" s="4" t="s">
        <v>362</v>
      </c>
    </row>
    <row r="856">
      <c r="G856" s="4" t="s">
        <v>362</v>
      </c>
      <c r="H856" s="4" t="s">
        <v>362</v>
      </c>
    </row>
    <row r="857">
      <c r="G857" s="4" t="s">
        <v>362</v>
      </c>
      <c r="H857" s="4" t="s">
        <v>362</v>
      </c>
    </row>
    <row r="858">
      <c r="G858" s="4" t="s">
        <v>362</v>
      </c>
      <c r="H858" s="4" t="s">
        <v>362</v>
      </c>
    </row>
    <row r="859">
      <c r="G859" s="4" t="s">
        <v>362</v>
      </c>
      <c r="H859" s="4" t="s">
        <v>362</v>
      </c>
    </row>
    <row r="860">
      <c r="G860" s="4" t="s">
        <v>362</v>
      </c>
      <c r="H860" s="4" t="s">
        <v>362</v>
      </c>
    </row>
    <row r="861">
      <c r="G861" s="4" t="s">
        <v>362</v>
      </c>
      <c r="H861" s="4" t="s">
        <v>362</v>
      </c>
    </row>
    <row r="862">
      <c r="G862" s="4" t="s">
        <v>362</v>
      </c>
      <c r="H862" s="4" t="s">
        <v>362</v>
      </c>
    </row>
    <row r="863">
      <c r="G863" s="4" t="s">
        <v>362</v>
      </c>
      <c r="H863" s="4" t="s">
        <v>362</v>
      </c>
    </row>
    <row r="864">
      <c r="G864" s="4" t="s">
        <v>362</v>
      </c>
      <c r="H864" s="4" t="s">
        <v>362</v>
      </c>
    </row>
    <row r="865">
      <c r="G865" s="4" t="s">
        <v>362</v>
      </c>
      <c r="H865" s="4" t="s">
        <v>362</v>
      </c>
    </row>
    <row r="866">
      <c r="G866" s="4" t="s">
        <v>362</v>
      </c>
      <c r="H866" s="4" t="s">
        <v>362</v>
      </c>
    </row>
    <row r="867">
      <c r="G867" s="4" t="s">
        <v>362</v>
      </c>
      <c r="H867" s="4" t="s">
        <v>362</v>
      </c>
    </row>
    <row r="868">
      <c r="G868" s="4" t="s">
        <v>362</v>
      </c>
      <c r="H868" s="4" t="s">
        <v>362</v>
      </c>
    </row>
    <row r="869">
      <c r="G869" s="4" t="s">
        <v>362</v>
      </c>
      <c r="H869" s="4" t="s">
        <v>362</v>
      </c>
    </row>
    <row r="870">
      <c r="G870" s="4" t="s">
        <v>362</v>
      </c>
      <c r="H870" s="4" t="s">
        <v>362</v>
      </c>
    </row>
    <row r="871">
      <c r="G871" s="4" t="s">
        <v>362</v>
      </c>
      <c r="H871" s="4" t="s">
        <v>362</v>
      </c>
    </row>
    <row r="872">
      <c r="G872" s="4" t="s">
        <v>362</v>
      </c>
      <c r="H872" s="4" t="s">
        <v>362</v>
      </c>
    </row>
    <row r="873">
      <c r="G873" s="4" t="s">
        <v>362</v>
      </c>
      <c r="H873" s="4" t="s">
        <v>362</v>
      </c>
    </row>
    <row r="874">
      <c r="G874" s="4" t="s">
        <v>362</v>
      </c>
      <c r="H874" s="4" t="s">
        <v>362</v>
      </c>
    </row>
    <row r="875">
      <c r="G875" s="4" t="s">
        <v>362</v>
      </c>
      <c r="H875" s="4" t="s">
        <v>362</v>
      </c>
    </row>
    <row r="876">
      <c r="G876" s="4" t="s">
        <v>362</v>
      </c>
      <c r="H876" s="4" t="s">
        <v>362</v>
      </c>
    </row>
    <row r="877">
      <c r="G877" s="4" t="s">
        <v>362</v>
      </c>
      <c r="H877" s="4" t="s">
        <v>362</v>
      </c>
    </row>
    <row r="878">
      <c r="G878" s="4" t="s">
        <v>362</v>
      </c>
      <c r="H878" s="4" t="s">
        <v>362</v>
      </c>
    </row>
    <row r="879">
      <c r="G879" s="4" t="s">
        <v>362</v>
      </c>
      <c r="H879" s="4" t="s">
        <v>362</v>
      </c>
    </row>
    <row r="880">
      <c r="G880" s="4" t="s">
        <v>362</v>
      </c>
      <c r="H880" s="4" t="s">
        <v>362</v>
      </c>
    </row>
    <row r="881">
      <c r="G881" s="4" t="s">
        <v>362</v>
      </c>
      <c r="H881" s="4" t="s">
        <v>362</v>
      </c>
    </row>
    <row r="882">
      <c r="G882" s="4" t="s">
        <v>362</v>
      </c>
      <c r="H882" s="4" t="s">
        <v>362</v>
      </c>
    </row>
    <row r="883">
      <c r="G883" s="4" t="s">
        <v>362</v>
      </c>
      <c r="H883" s="4" t="s">
        <v>362</v>
      </c>
    </row>
    <row r="884">
      <c r="G884" s="4" t="s">
        <v>362</v>
      </c>
      <c r="H884" s="4" t="s">
        <v>362</v>
      </c>
    </row>
    <row r="885">
      <c r="G885" s="4" t="s">
        <v>362</v>
      </c>
      <c r="H885" s="4" t="s">
        <v>362</v>
      </c>
    </row>
    <row r="886">
      <c r="G886" s="4" t="s">
        <v>362</v>
      </c>
      <c r="H886" s="4" t="s">
        <v>362</v>
      </c>
    </row>
    <row r="887">
      <c r="G887" s="4" t="s">
        <v>362</v>
      </c>
      <c r="H887" s="4" t="s">
        <v>362</v>
      </c>
    </row>
    <row r="888">
      <c r="G888" s="4" t="s">
        <v>362</v>
      </c>
      <c r="H888" s="4" t="s">
        <v>362</v>
      </c>
    </row>
    <row r="889">
      <c r="G889" s="4" t="s">
        <v>362</v>
      </c>
      <c r="H889" s="4" t="s">
        <v>362</v>
      </c>
    </row>
    <row r="890">
      <c r="G890" s="4" t="s">
        <v>362</v>
      </c>
      <c r="H890" s="4" t="s">
        <v>362</v>
      </c>
    </row>
    <row r="891">
      <c r="G891" s="4" t="s">
        <v>362</v>
      </c>
      <c r="H891" s="4" t="s">
        <v>362</v>
      </c>
    </row>
    <row r="892">
      <c r="G892" s="4" t="s">
        <v>362</v>
      </c>
      <c r="H892" s="4" t="s">
        <v>362</v>
      </c>
    </row>
    <row r="893">
      <c r="G893" s="4" t="s">
        <v>362</v>
      </c>
      <c r="H893" s="4" t="s">
        <v>362</v>
      </c>
    </row>
    <row r="894">
      <c r="G894" s="4" t="s">
        <v>362</v>
      </c>
      <c r="H894" s="4" t="s">
        <v>362</v>
      </c>
    </row>
    <row r="895">
      <c r="G895" s="4" t="s">
        <v>362</v>
      </c>
      <c r="H895" s="4" t="s">
        <v>362</v>
      </c>
    </row>
    <row r="896">
      <c r="G896" s="4" t="s">
        <v>362</v>
      </c>
      <c r="H896" s="4" t="s">
        <v>362</v>
      </c>
    </row>
    <row r="897">
      <c r="G897" s="4" t="s">
        <v>362</v>
      </c>
      <c r="H897" s="4" t="s">
        <v>362</v>
      </c>
    </row>
    <row r="898">
      <c r="G898" s="4" t="s">
        <v>362</v>
      </c>
      <c r="H898" s="4" t="s">
        <v>362</v>
      </c>
    </row>
    <row r="899">
      <c r="G899" s="4" t="s">
        <v>362</v>
      </c>
      <c r="H899" s="4" t="s">
        <v>362</v>
      </c>
    </row>
    <row r="900">
      <c r="G900" s="4" t="s">
        <v>362</v>
      </c>
      <c r="H900" s="4" t="s">
        <v>362</v>
      </c>
    </row>
    <row r="901">
      <c r="G901" s="4" t="s">
        <v>362</v>
      </c>
      <c r="H901" s="4" t="s">
        <v>362</v>
      </c>
    </row>
    <row r="902">
      <c r="G902" s="4" t="s">
        <v>362</v>
      </c>
      <c r="H902" s="4" t="s">
        <v>362</v>
      </c>
    </row>
    <row r="903">
      <c r="G903" s="4" t="s">
        <v>362</v>
      </c>
      <c r="H903" s="4" t="s">
        <v>362</v>
      </c>
    </row>
    <row r="904">
      <c r="G904" s="4" t="s">
        <v>362</v>
      </c>
      <c r="H904" s="4" t="s">
        <v>362</v>
      </c>
    </row>
    <row r="905">
      <c r="G905" s="4" t="s">
        <v>362</v>
      </c>
      <c r="H905" s="4" t="s">
        <v>362</v>
      </c>
    </row>
    <row r="906">
      <c r="G906" s="4" t="s">
        <v>362</v>
      </c>
      <c r="H906" s="4" t="s">
        <v>362</v>
      </c>
    </row>
    <row r="907">
      <c r="G907" s="4" t="s">
        <v>362</v>
      </c>
      <c r="H907" s="4" t="s">
        <v>362</v>
      </c>
    </row>
    <row r="908">
      <c r="G908" s="4" t="s">
        <v>362</v>
      </c>
      <c r="H908" s="4" t="s">
        <v>362</v>
      </c>
    </row>
    <row r="909">
      <c r="G909" s="4" t="s">
        <v>362</v>
      </c>
      <c r="H909" s="4" t="s">
        <v>362</v>
      </c>
    </row>
    <row r="910">
      <c r="G910" s="4" t="s">
        <v>362</v>
      </c>
      <c r="H910" s="4" t="s">
        <v>362</v>
      </c>
    </row>
    <row r="911">
      <c r="G911" s="4" t="s">
        <v>362</v>
      </c>
      <c r="H911" s="4" t="s">
        <v>362</v>
      </c>
    </row>
    <row r="912">
      <c r="G912" s="4" t="s">
        <v>362</v>
      </c>
      <c r="H912" s="4" t="s">
        <v>362</v>
      </c>
    </row>
    <row r="913">
      <c r="G913" s="4" t="s">
        <v>362</v>
      </c>
      <c r="H913" s="4" t="s">
        <v>362</v>
      </c>
    </row>
    <row r="914">
      <c r="G914" s="4" t="s">
        <v>362</v>
      </c>
      <c r="H914" s="4" t="s">
        <v>362</v>
      </c>
    </row>
    <row r="915">
      <c r="G915" s="4" t="s">
        <v>362</v>
      </c>
      <c r="H915" s="4" t="s">
        <v>362</v>
      </c>
    </row>
    <row r="916">
      <c r="G916" s="4" t="s">
        <v>362</v>
      </c>
      <c r="H916" s="4" t="s">
        <v>362</v>
      </c>
    </row>
    <row r="917">
      <c r="G917" s="4" t="s">
        <v>362</v>
      </c>
      <c r="H917" s="4" t="s">
        <v>362</v>
      </c>
    </row>
    <row r="918">
      <c r="G918" s="4" t="s">
        <v>362</v>
      </c>
      <c r="H918" s="4" t="s">
        <v>362</v>
      </c>
    </row>
    <row r="919">
      <c r="G919" s="4" t="s">
        <v>362</v>
      </c>
      <c r="H919" s="4" t="s">
        <v>362</v>
      </c>
    </row>
    <row r="920">
      <c r="G920" s="4" t="s">
        <v>362</v>
      </c>
      <c r="H920" s="4" t="s">
        <v>362</v>
      </c>
    </row>
    <row r="921">
      <c r="G921" s="4" t="s">
        <v>362</v>
      </c>
      <c r="H921" s="4" t="s">
        <v>362</v>
      </c>
    </row>
    <row r="922">
      <c r="G922" s="4" t="s">
        <v>362</v>
      </c>
      <c r="H922" s="4" t="s">
        <v>362</v>
      </c>
    </row>
    <row r="923">
      <c r="G923" s="4" t="s">
        <v>362</v>
      </c>
      <c r="H923" s="4" t="s">
        <v>362</v>
      </c>
    </row>
    <row r="924">
      <c r="G924" s="4" t="s">
        <v>362</v>
      </c>
      <c r="H924" s="4" t="s">
        <v>362</v>
      </c>
    </row>
    <row r="925">
      <c r="G925" s="4" t="s">
        <v>362</v>
      </c>
      <c r="H925" s="4" t="s">
        <v>362</v>
      </c>
    </row>
    <row r="926">
      <c r="G926" s="4" t="s">
        <v>362</v>
      </c>
      <c r="H926" s="4" t="s">
        <v>362</v>
      </c>
    </row>
    <row r="927">
      <c r="G927" s="4" t="s">
        <v>362</v>
      </c>
      <c r="H927" s="4" t="s">
        <v>362</v>
      </c>
    </row>
    <row r="928">
      <c r="G928" s="4" t="s">
        <v>362</v>
      </c>
      <c r="H928" s="4" t="s">
        <v>362</v>
      </c>
    </row>
    <row r="929">
      <c r="G929" s="4" t="s">
        <v>362</v>
      </c>
      <c r="H929" s="4" t="s">
        <v>362</v>
      </c>
    </row>
    <row r="930">
      <c r="G930" s="4" t="s">
        <v>362</v>
      </c>
      <c r="H930" s="4" t="s">
        <v>362</v>
      </c>
    </row>
    <row r="931">
      <c r="G931" s="4" t="s">
        <v>362</v>
      </c>
      <c r="H931" s="4" t="s">
        <v>362</v>
      </c>
    </row>
    <row r="932">
      <c r="G932" s="4" t="s">
        <v>362</v>
      </c>
      <c r="H932" s="4" t="s">
        <v>362</v>
      </c>
    </row>
    <row r="933">
      <c r="G933" s="4" t="s">
        <v>362</v>
      </c>
      <c r="H933" s="4" t="s">
        <v>362</v>
      </c>
    </row>
    <row r="934">
      <c r="G934" s="4" t="s">
        <v>362</v>
      </c>
      <c r="H934" s="4" t="s">
        <v>362</v>
      </c>
    </row>
    <row r="935">
      <c r="G935" s="4" t="s">
        <v>362</v>
      </c>
      <c r="H935" s="4" t="s">
        <v>362</v>
      </c>
    </row>
    <row r="936">
      <c r="G936" s="4" t="s">
        <v>362</v>
      </c>
      <c r="H936" s="4" t="s">
        <v>362</v>
      </c>
    </row>
    <row r="937">
      <c r="G937" s="4" t="s">
        <v>362</v>
      </c>
      <c r="H937" s="4" t="s">
        <v>362</v>
      </c>
    </row>
    <row r="938">
      <c r="G938" s="4" t="s">
        <v>362</v>
      </c>
      <c r="H938" s="4" t="s">
        <v>362</v>
      </c>
    </row>
    <row r="939">
      <c r="G939" s="4" t="s">
        <v>362</v>
      </c>
      <c r="H939" s="4" t="s">
        <v>362</v>
      </c>
    </row>
    <row r="940">
      <c r="G940" s="4" t="s">
        <v>362</v>
      </c>
      <c r="H940" s="4" t="s">
        <v>362</v>
      </c>
    </row>
    <row r="941">
      <c r="G941" s="4" t="s">
        <v>362</v>
      </c>
      <c r="H941" s="4" t="s">
        <v>362</v>
      </c>
    </row>
    <row r="942">
      <c r="G942" s="4" t="s">
        <v>362</v>
      </c>
      <c r="H942" s="4" t="s">
        <v>362</v>
      </c>
    </row>
    <row r="943">
      <c r="G943" s="4" t="s">
        <v>362</v>
      </c>
      <c r="H943" s="4" t="s">
        <v>362</v>
      </c>
    </row>
    <row r="944">
      <c r="G944" s="4" t="s">
        <v>362</v>
      </c>
      <c r="H944" s="4" t="s">
        <v>362</v>
      </c>
    </row>
    <row r="945">
      <c r="G945" s="4" t="s">
        <v>362</v>
      </c>
      <c r="H945" s="4" t="s">
        <v>362</v>
      </c>
    </row>
    <row r="946">
      <c r="G946" s="4" t="s">
        <v>362</v>
      </c>
      <c r="H946" s="4" t="s">
        <v>362</v>
      </c>
    </row>
    <row r="947">
      <c r="G947" s="4" t="s">
        <v>362</v>
      </c>
      <c r="H947" s="4" t="s">
        <v>362</v>
      </c>
    </row>
    <row r="948">
      <c r="G948" s="4" t="s">
        <v>362</v>
      </c>
      <c r="H948" s="4" t="s">
        <v>362</v>
      </c>
    </row>
    <row r="949">
      <c r="G949" s="4" t="s">
        <v>362</v>
      </c>
      <c r="H949" s="4" t="s">
        <v>362</v>
      </c>
    </row>
    <row r="950">
      <c r="G950" s="4" t="s">
        <v>362</v>
      </c>
      <c r="H950" s="4" t="s">
        <v>362</v>
      </c>
    </row>
    <row r="951">
      <c r="G951" s="4" t="s">
        <v>362</v>
      </c>
      <c r="H951" s="4" t="s">
        <v>362</v>
      </c>
    </row>
    <row r="952">
      <c r="G952" s="4" t="s">
        <v>362</v>
      </c>
      <c r="H952" s="4" t="s">
        <v>362</v>
      </c>
    </row>
    <row r="953">
      <c r="G953" s="4" t="s">
        <v>362</v>
      </c>
      <c r="H953" s="4" t="s">
        <v>362</v>
      </c>
    </row>
    <row r="954">
      <c r="G954" s="4" t="s">
        <v>362</v>
      </c>
      <c r="H954" s="4" t="s">
        <v>362</v>
      </c>
    </row>
    <row r="955">
      <c r="G955" s="4" t="s">
        <v>362</v>
      </c>
      <c r="H955" s="4" t="s">
        <v>362</v>
      </c>
    </row>
    <row r="956">
      <c r="G956" s="4" t="s">
        <v>362</v>
      </c>
      <c r="H956" s="4" t="s">
        <v>362</v>
      </c>
    </row>
    <row r="957">
      <c r="G957" s="4" t="s">
        <v>362</v>
      </c>
      <c r="H957" s="4" t="s">
        <v>362</v>
      </c>
    </row>
    <row r="958">
      <c r="G958" s="4" t="s">
        <v>362</v>
      </c>
      <c r="H958" s="4" t="s">
        <v>362</v>
      </c>
    </row>
    <row r="959">
      <c r="G959" s="4" t="s">
        <v>362</v>
      </c>
      <c r="H959" s="4" t="s">
        <v>362</v>
      </c>
    </row>
    <row r="960">
      <c r="G960" s="4" t="s">
        <v>362</v>
      </c>
      <c r="H960" s="4" t="s">
        <v>362</v>
      </c>
    </row>
    <row r="961">
      <c r="G961" s="4" t="s">
        <v>362</v>
      </c>
      <c r="H961" s="4" t="s">
        <v>362</v>
      </c>
    </row>
    <row r="962">
      <c r="G962" s="4" t="s">
        <v>362</v>
      </c>
      <c r="H962" s="4" t="s">
        <v>362</v>
      </c>
    </row>
    <row r="963">
      <c r="G963" s="4" t="s">
        <v>362</v>
      </c>
      <c r="H963" s="4" t="s">
        <v>362</v>
      </c>
    </row>
    <row r="964">
      <c r="G964" s="4" t="s">
        <v>362</v>
      </c>
      <c r="H964" s="4" t="s">
        <v>362</v>
      </c>
    </row>
    <row r="965">
      <c r="G965" s="4" t="s">
        <v>362</v>
      </c>
      <c r="H965" s="4" t="s">
        <v>362</v>
      </c>
    </row>
    <row r="966">
      <c r="G966" s="4" t="s">
        <v>362</v>
      </c>
      <c r="H966" s="4" t="s">
        <v>362</v>
      </c>
    </row>
    <row r="967">
      <c r="G967" s="4" t="s">
        <v>362</v>
      </c>
      <c r="H967" s="4" t="s">
        <v>362</v>
      </c>
    </row>
    <row r="968">
      <c r="G968" s="4" t="s">
        <v>362</v>
      </c>
      <c r="H968" s="4" t="s">
        <v>362</v>
      </c>
    </row>
    <row r="969">
      <c r="G969" s="4" t="s">
        <v>362</v>
      </c>
      <c r="H969" s="4" t="s">
        <v>362</v>
      </c>
    </row>
    <row r="970">
      <c r="G970" s="4" t="s">
        <v>362</v>
      </c>
      <c r="H970" s="4" t="s">
        <v>362</v>
      </c>
    </row>
    <row r="971">
      <c r="G971" s="4" t="s">
        <v>362</v>
      </c>
      <c r="H971" s="4" t="s">
        <v>362</v>
      </c>
    </row>
    <row r="972">
      <c r="G972" s="4" t="s">
        <v>362</v>
      </c>
      <c r="H972" s="4" t="s">
        <v>362</v>
      </c>
    </row>
    <row r="973">
      <c r="G973" s="4" t="s">
        <v>362</v>
      </c>
      <c r="H973" s="4" t="s">
        <v>362</v>
      </c>
    </row>
    <row r="974">
      <c r="G974" s="4" t="s">
        <v>362</v>
      </c>
      <c r="H974" s="4" t="s">
        <v>362</v>
      </c>
    </row>
    <row r="975">
      <c r="G975" s="4" t="s">
        <v>362</v>
      </c>
      <c r="H975" s="4" t="s">
        <v>362</v>
      </c>
    </row>
    <row r="976">
      <c r="G976" s="4" t="s">
        <v>362</v>
      </c>
      <c r="H976" s="4" t="s">
        <v>362</v>
      </c>
    </row>
    <row r="977">
      <c r="G977" s="4" t="s">
        <v>362</v>
      </c>
      <c r="H977" s="4" t="s">
        <v>362</v>
      </c>
    </row>
    <row r="978">
      <c r="G978" s="4" t="s">
        <v>362</v>
      </c>
      <c r="H978" s="4" t="s">
        <v>362</v>
      </c>
    </row>
    <row r="979">
      <c r="G979" s="4" t="s">
        <v>362</v>
      </c>
      <c r="H979" s="4" t="s">
        <v>362</v>
      </c>
    </row>
    <row r="980">
      <c r="G980" s="4" t="s">
        <v>362</v>
      </c>
      <c r="H980" s="4" t="s">
        <v>362</v>
      </c>
    </row>
    <row r="981">
      <c r="G981" s="4" t="s">
        <v>362</v>
      </c>
      <c r="H981" s="4" t="s">
        <v>362</v>
      </c>
    </row>
    <row r="982">
      <c r="G982" s="4" t="s">
        <v>362</v>
      </c>
      <c r="H982" s="4" t="s">
        <v>362</v>
      </c>
    </row>
    <row r="983">
      <c r="G983" s="4" t="s">
        <v>362</v>
      </c>
      <c r="H983" s="4" t="s">
        <v>362</v>
      </c>
    </row>
    <row r="984">
      <c r="G984" s="4" t="s">
        <v>362</v>
      </c>
      <c r="H984" s="4" t="s">
        <v>362</v>
      </c>
    </row>
    <row r="985">
      <c r="G985" s="4" t="s">
        <v>362</v>
      </c>
      <c r="H985" s="4" t="s">
        <v>362</v>
      </c>
    </row>
    <row r="986">
      <c r="G986" s="4" t="s">
        <v>362</v>
      </c>
      <c r="H986" s="4" t="s">
        <v>362</v>
      </c>
    </row>
    <row r="987">
      <c r="G987" s="4" t="s">
        <v>362</v>
      </c>
      <c r="H987" s="4" t="s">
        <v>362</v>
      </c>
    </row>
    <row r="988">
      <c r="G988" s="4" t="s">
        <v>362</v>
      </c>
      <c r="H988" s="4" t="s">
        <v>362</v>
      </c>
    </row>
    <row r="989">
      <c r="G989" s="4" t="s">
        <v>362</v>
      </c>
      <c r="H989" s="4" t="s">
        <v>362</v>
      </c>
    </row>
    <row r="990">
      <c r="G990" s="4" t="s">
        <v>362</v>
      </c>
      <c r="H990" s="4" t="s">
        <v>362</v>
      </c>
    </row>
    <row r="991">
      <c r="G991" s="4" t="s">
        <v>362</v>
      </c>
      <c r="H991" s="4" t="s">
        <v>362</v>
      </c>
    </row>
    <row r="992">
      <c r="G992" s="4" t="s">
        <v>362</v>
      </c>
      <c r="H992" s="4" t="s">
        <v>362</v>
      </c>
    </row>
    <row r="993">
      <c r="G993" s="4" t="s">
        <v>362</v>
      </c>
      <c r="H993" s="4" t="s">
        <v>362</v>
      </c>
    </row>
    <row r="994">
      <c r="G994" s="4" t="s">
        <v>362</v>
      </c>
      <c r="H994" s="4" t="s">
        <v>362</v>
      </c>
    </row>
    <row r="995">
      <c r="G995" s="4" t="s">
        <v>362</v>
      </c>
      <c r="H995" s="4" t="s">
        <v>362</v>
      </c>
    </row>
    <row r="996">
      <c r="G996" s="4" t="s">
        <v>362</v>
      </c>
      <c r="H996" s="4" t="s">
        <v>362</v>
      </c>
    </row>
    <row r="997">
      <c r="G997" s="4" t="s">
        <v>362</v>
      </c>
      <c r="H997" s="4" t="s">
        <v>362</v>
      </c>
    </row>
    <row r="998">
      <c r="G998" s="4" t="s">
        <v>362</v>
      </c>
      <c r="H998" s="4" t="s">
        <v>362</v>
      </c>
    </row>
    <row r="999">
      <c r="G999" s="4" t="s">
        <v>362</v>
      </c>
      <c r="H999" s="4" t="s">
        <v>362</v>
      </c>
    </row>
    <row r="1000">
      <c r="G1000" s="4" t="s">
        <v>362</v>
      </c>
      <c r="H1000" s="4" t="s">
        <v>362</v>
      </c>
    </row>
  </sheetData>
  <autoFilter ref="$A$1:$K$1000">
    <sortState ref="A1:K1000">
      <sortCondition ref="J1:J1000"/>
    </sortState>
  </autoFilter>
  <conditionalFormatting sqref="A1:A126">
    <cfRule type="expression" dxfId="0" priority="1">
      <formula>COUNTIF(A2:$A1000,A2)&gt;1</formula>
    </cfRule>
  </conditionalFormatting>
  <dataValidations>
    <dataValidation type="list" allowBlank="1" showDropDown="1" showErrorMessage="1" sqref="I2:I121">
      <formula1>"Bekasi,Bogor,Depok,Jakarta,Tangerang,N/A"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8.13"/>
    <col customWidth="1" min="7" max="7" width="26.2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7" t="s">
        <v>8</v>
      </c>
      <c r="I1" s="1" t="s">
        <v>7</v>
      </c>
      <c r="J1" s="1" t="s">
        <v>9</v>
      </c>
      <c r="K1" s="1" t="s">
        <v>10</v>
      </c>
      <c r="L1" s="1" t="s">
        <v>267</v>
      </c>
    </row>
    <row r="2">
      <c r="A2" s="1" t="s">
        <v>12</v>
      </c>
      <c r="B2" s="2">
        <v>46120.0</v>
      </c>
      <c r="C2" s="1" t="s">
        <v>21</v>
      </c>
      <c r="D2" s="1" t="str">
        <f t="array" ref="D2">_xlfn.XLOOKUP(C2,Master_Pelanggan!A:A,Master_Pelanggan!B:B)</f>
        <v>Nur Siregar</v>
      </c>
      <c r="E2" s="1" t="str">
        <f t="array" ref="E2">_xlfn.XLOOKUP(C2,Master_Pelanggan!A:A,Master_Pelanggan!D:D)</f>
        <v>Reguler</v>
      </c>
      <c r="F2" s="1" t="s">
        <v>33</v>
      </c>
      <c r="G2" s="1" t="str">
        <f t="array" ref="G2:G1000">IF(F2:F1000="", "", VLOOKUP(F2:F1000, 'Master Layanan PLN'!$A$2:$C$7, 2, FALSE))</f>
        <v>Rumah Tangga 1300 VA</v>
      </c>
      <c r="H2" s="17">
        <f t="array" ref="H2:H1000">IF(G2:G1000="", "", VLOOKUP(F2:F1000, 'Master Layanan PLN'!$A$2:$C$7, 3, FALSE))</f>
        <v>1444</v>
      </c>
      <c r="I2" s="1" t="s">
        <v>35</v>
      </c>
      <c r="J2" s="5">
        <v>218.0</v>
      </c>
      <c r="K2" s="1" t="s">
        <v>18</v>
      </c>
      <c r="L2" s="18">
        <f t="shared" ref="L2:L121" si="1">H2*J2</f>
        <v>314792</v>
      </c>
      <c r="M2" s="1"/>
    </row>
    <row r="3">
      <c r="A3" s="1" t="s">
        <v>58</v>
      </c>
      <c r="B3" s="2">
        <v>46256.0</v>
      </c>
      <c r="C3" s="1" t="s">
        <v>26</v>
      </c>
      <c r="D3" s="1" t="str">
        <f t="array" ref="D3">_xlfn.XLOOKUP(C3,Master_Pelanggan!A:A,Master_Pelanggan!B:B)</f>
        <v>Siti Saputra</v>
      </c>
      <c r="E3" s="1" t="str">
        <f t="array" ref="E3">_xlfn.XLOOKUP(C3,Master_Pelanggan!A:A,Master_Pelanggan!D:D)</f>
        <v>Reguler</v>
      </c>
      <c r="F3" s="1" t="s">
        <v>51</v>
      </c>
      <c r="G3" s="1" t="s">
        <v>139</v>
      </c>
      <c r="H3" s="17">
        <v>633.0</v>
      </c>
      <c r="I3" s="1" t="s">
        <v>23</v>
      </c>
      <c r="J3" s="1">
        <v>41.0</v>
      </c>
      <c r="K3" s="1" t="s">
        <v>18</v>
      </c>
      <c r="L3" s="18">
        <f t="shared" si="1"/>
        <v>25953</v>
      </c>
      <c r="M3" s="1"/>
    </row>
    <row r="4">
      <c r="A4" s="1" t="s">
        <v>59</v>
      </c>
      <c r="B4" s="2">
        <v>46256.0</v>
      </c>
      <c r="C4" s="1" t="s">
        <v>60</v>
      </c>
      <c r="D4" s="1" t="str">
        <f t="array" ref="D4">_xlfn.XLOOKUP(C4,Master_Pelanggan!A:A,Master_Pelanggan!B:B)</f>
        <v>Rina Hidayat</v>
      </c>
      <c r="E4" s="1" t="str">
        <f t="array" ref="E4">_xlfn.XLOOKUP(C4,Master_Pelanggan!A:A,Master_Pelanggan!D:D)</f>
        <v>Reguler</v>
      </c>
      <c r="F4" s="1" t="s">
        <v>33</v>
      </c>
      <c r="G4" s="1" t="s">
        <v>150</v>
      </c>
      <c r="H4" s="17">
        <v>1444.0</v>
      </c>
      <c r="I4" s="1" t="s">
        <v>27</v>
      </c>
      <c r="J4" s="1">
        <v>61.0</v>
      </c>
      <c r="K4" s="1" t="s">
        <v>18</v>
      </c>
      <c r="L4" s="18">
        <f t="shared" si="1"/>
        <v>88084</v>
      </c>
      <c r="M4" s="1"/>
    </row>
    <row r="5">
      <c r="A5" s="1" t="s">
        <v>72</v>
      </c>
      <c r="B5" s="2">
        <v>46030.0</v>
      </c>
      <c r="C5" s="1" t="s">
        <v>73</v>
      </c>
      <c r="D5" s="1" t="str">
        <f t="array" ref="D5">_xlfn.XLOOKUP(C5,Master_Pelanggan!A:A,Master_Pelanggan!B:B)</f>
        <v>Nina Syahputra</v>
      </c>
      <c r="E5" s="1" t="str">
        <f t="array" ref="E5">_xlfn.XLOOKUP(C5,Master_Pelanggan!A:A,Master_Pelanggan!D:D)</f>
        <v>Reguler</v>
      </c>
      <c r="F5" s="1" t="s">
        <v>17</v>
      </c>
      <c r="G5" s="1" t="s">
        <v>159</v>
      </c>
      <c r="H5" s="17">
        <v>1352.0</v>
      </c>
      <c r="I5" s="1" t="s">
        <v>55</v>
      </c>
      <c r="J5" s="1">
        <v>62.0</v>
      </c>
      <c r="K5" s="1" t="s">
        <v>18</v>
      </c>
      <c r="L5" s="18">
        <f t="shared" si="1"/>
        <v>83824</v>
      </c>
      <c r="M5" s="5"/>
    </row>
    <row r="6">
      <c r="A6" s="1" t="s">
        <v>133</v>
      </c>
      <c r="B6" s="2">
        <v>46030.0</v>
      </c>
      <c r="C6" s="1" t="s">
        <v>135</v>
      </c>
      <c r="D6" s="1" t="str">
        <f t="array" ref="D6">_xlfn.XLOOKUP(C6,Master_Pelanggan!A:A,Master_Pelanggan!B:B)</f>
        <v>Ari Rahayu</v>
      </c>
      <c r="E6" s="1" t="str">
        <f t="array" ref="E6">_xlfn.XLOOKUP(C6,Master_Pelanggan!A:A,Master_Pelanggan!D:D)</f>
        <v>Reguler</v>
      </c>
      <c r="F6" s="1" t="s">
        <v>33</v>
      </c>
      <c r="G6" s="1" t="s">
        <v>150</v>
      </c>
      <c r="H6" s="17">
        <v>1444.0</v>
      </c>
      <c r="I6" s="1" t="s">
        <v>55</v>
      </c>
      <c r="J6" s="1">
        <v>82.0</v>
      </c>
      <c r="K6" s="1" t="s">
        <v>18</v>
      </c>
      <c r="L6" s="18">
        <f t="shared" si="1"/>
        <v>118408</v>
      </c>
      <c r="M6" s="5"/>
    </row>
    <row r="7">
      <c r="A7" s="1" t="s">
        <v>119</v>
      </c>
      <c r="B7" s="2">
        <v>46030.0</v>
      </c>
      <c r="C7" s="1" t="s">
        <v>120</v>
      </c>
      <c r="D7" s="1" t="str">
        <f t="array" ref="D7">_xlfn.XLOOKUP(C7,Master_Pelanggan!A:A,Master_Pelanggan!B:B)</f>
        <v>Lia Wahyuni</v>
      </c>
      <c r="E7" s="1" t="str">
        <f t="array" ref="E7">_xlfn.XLOOKUP(C7,Master_Pelanggan!A:A,Master_Pelanggan!D:D)</f>
        <v>Reguler</v>
      </c>
      <c r="F7" s="1" t="s">
        <v>15</v>
      </c>
      <c r="G7" s="1" t="s">
        <v>177</v>
      </c>
      <c r="H7" s="17">
        <v>535.0</v>
      </c>
      <c r="I7" s="1" t="s">
        <v>55</v>
      </c>
      <c r="J7" s="1">
        <v>93.0</v>
      </c>
      <c r="K7" s="1" t="s">
        <v>18</v>
      </c>
      <c r="L7" s="18">
        <f t="shared" si="1"/>
        <v>49755</v>
      </c>
      <c r="M7" s="15"/>
      <c r="N7" s="12"/>
    </row>
    <row r="8">
      <c r="A8" s="1" t="s">
        <v>115</v>
      </c>
      <c r="B8" s="2">
        <v>46254.0</v>
      </c>
      <c r="C8" s="1" t="s">
        <v>116</v>
      </c>
      <c r="D8" s="1" t="str">
        <f t="array" ref="D8">_xlfn.XLOOKUP(C8,Master_Pelanggan!A:A,Master_Pelanggan!B:B)</f>
        <v>Dwi Hidayat</v>
      </c>
      <c r="E8" s="1" t="str">
        <f t="array" ref="E8">_xlfn.XLOOKUP(C8,Master_Pelanggan!A:A,Master_Pelanggan!D:D)</f>
        <v>Prioritas</v>
      </c>
      <c r="F8" s="1" t="s">
        <v>33</v>
      </c>
      <c r="G8" s="1" t="s">
        <v>150</v>
      </c>
      <c r="H8" s="17">
        <v>1444.0</v>
      </c>
      <c r="I8" s="1" t="s">
        <v>35</v>
      </c>
      <c r="J8" s="1">
        <v>102.0</v>
      </c>
      <c r="K8" s="1" t="s">
        <v>18</v>
      </c>
      <c r="L8" s="18">
        <f t="shared" si="1"/>
        <v>147288</v>
      </c>
    </row>
    <row r="9">
      <c r="A9" s="1" t="s">
        <v>194</v>
      </c>
      <c r="B9" s="2">
        <v>46263.0</v>
      </c>
      <c r="C9" s="1" t="s">
        <v>196</v>
      </c>
      <c r="D9" s="1" t="str">
        <f t="array" ref="D9">_xlfn.XLOOKUP(C9,Master_Pelanggan!A:A,Master_Pelanggan!B:B)</f>
        <v>Rina Wijaya</v>
      </c>
      <c r="E9" s="1" t="str">
        <f t="array" ref="E9">_xlfn.XLOOKUP(C9,Master_Pelanggan!A:A,Master_Pelanggan!D:D)</f>
        <v>Reguler</v>
      </c>
      <c r="F9" s="1" t="s">
        <v>51</v>
      </c>
      <c r="G9" s="1" t="s">
        <v>139</v>
      </c>
      <c r="H9" s="17">
        <v>633.0</v>
      </c>
      <c r="I9" s="1" t="s">
        <v>23</v>
      </c>
      <c r="J9" s="1">
        <v>105.0</v>
      </c>
      <c r="K9" s="1" t="s">
        <v>46</v>
      </c>
      <c r="L9" s="18">
        <f t="shared" si="1"/>
        <v>66465</v>
      </c>
    </row>
    <row r="10">
      <c r="A10" s="1" t="s">
        <v>91</v>
      </c>
      <c r="B10" s="2">
        <v>46242.0</v>
      </c>
      <c r="C10" s="1" t="s">
        <v>92</v>
      </c>
      <c r="D10" s="1" t="str">
        <f t="array" ref="D10">_xlfn.XLOOKUP(C10,Master_Pelanggan!A:A,Master_Pelanggan!B:B)</f>
        <v>Dwi Santoso</v>
      </c>
      <c r="E10" s="1" t="str">
        <f t="array" ref="E10">_xlfn.XLOOKUP(C10,Master_Pelanggan!A:A,Master_Pelanggan!D:D)</f>
        <v>Prioritas</v>
      </c>
      <c r="F10" s="1" t="s">
        <v>38</v>
      </c>
      <c r="G10" s="1" t="s">
        <v>210</v>
      </c>
      <c r="H10" s="17">
        <v>966.0</v>
      </c>
      <c r="I10" s="1" t="s">
        <v>19</v>
      </c>
      <c r="J10" s="1">
        <v>107.0</v>
      </c>
      <c r="K10" s="1" t="s">
        <v>18</v>
      </c>
      <c r="L10" s="18">
        <f t="shared" si="1"/>
        <v>103362</v>
      </c>
    </row>
    <row r="11">
      <c r="A11" s="1" t="s">
        <v>111</v>
      </c>
      <c r="B11" s="2">
        <v>46252.0</v>
      </c>
      <c r="C11" s="1" t="s">
        <v>112</v>
      </c>
      <c r="D11" s="1" t="str">
        <f t="array" ref="D11">_xlfn.XLOOKUP(C11,Master_Pelanggan!A:A,Master_Pelanggan!B:B)</f>
        <v>Dwi Wibowo</v>
      </c>
      <c r="E11" s="1" t="str">
        <f t="array" ref="E11">_xlfn.XLOOKUP(C11,Master_Pelanggan!A:A,Master_Pelanggan!D:D)</f>
        <v>Prioritas</v>
      </c>
      <c r="F11" s="1" t="s">
        <v>51</v>
      </c>
      <c r="G11" s="1" t="s">
        <v>139</v>
      </c>
      <c r="H11" s="17">
        <v>633.0</v>
      </c>
      <c r="I11" s="1" t="s">
        <v>35</v>
      </c>
      <c r="J11" s="1">
        <v>115.0</v>
      </c>
      <c r="K11" s="1" t="s">
        <v>46</v>
      </c>
      <c r="L11" s="18">
        <f t="shared" si="1"/>
        <v>72795</v>
      </c>
    </row>
    <row r="12">
      <c r="A12" s="1" t="s">
        <v>63</v>
      </c>
      <c r="B12" s="2">
        <v>46334.0</v>
      </c>
      <c r="C12" s="1" t="s">
        <v>64</v>
      </c>
      <c r="D12" s="1" t="str">
        <f t="array" ref="D12">_xlfn.XLOOKUP(C12,Master_Pelanggan!A:A,Master_Pelanggan!B:B)</f>
        <v>Eko Nugroho</v>
      </c>
      <c r="E12" s="1" t="str">
        <f t="array" ref="E12">_xlfn.XLOOKUP(C12,Master_Pelanggan!A:A,Master_Pelanggan!D:D)</f>
        <v>Reguler</v>
      </c>
      <c r="F12" s="1" t="s">
        <v>38</v>
      </c>
      <c r="G12" s="1" t="s">
        <v>210</v>
      </c>
      <c r="H12" s="17">
        <v>966.0</v>
      </c>
      <c r="I12" s="1" t="s">
        <v>23</v>
      </c>
      <c r="J12" s="1">
        <v>118.0</v>
      </c>
      <c r="K12" s="1" t="s">
        <v>18</v>
      </c>
      <c r="L12" s="18">
        <f t="shared" si="1"/>
        <v>113988</v>
      </c>
    </row>
    <row r="13">
      <c r="A13" s="1" t="s">
        <v>221</v>
      </c>
      <c r="B13" s="2">
        <v>46250.0</v>
      </c>
      <c r="C13" s="1" t="s">
        <v>222</v>
      </c>
      <c r="D13" s="1" t="str">
        <f t="array" ref="D13">_xlfn.XLOOKUP(C13,Master_Pelanggan!A:A,Master_Pelanggan!B:B)</f>
        <v>Rudi Nugroho</v>
      </c>
      <c r="E13" s="1" t="str">
        <f t="array" ref="E13">_xlfn.XLOOKUP(C13,Master_Pelanggan!A:A,Master_Pelanggan!D:D)</f>
        <v>Subsidi</v>
      </c>
      <c r="F13" s="1" t="s">
        <v>51</v>
      </c>
      <c r="G13" s="1" t="s">
        <v>139</v>
      </c>
      <c r="H13" s="17">
        <v>633.0</v>
      </c>
      <c r="I13" s="1" t="s">
        <v>55</v>
      </c>
      <c r="J13" s="1">
        <v>119.0</v>
      </c>
      <c r="K13" s="1" t="s">
        <v>18</v>
      </c>
      <c r="L13" s="18">
        <f t="shared" si="1"/>
        <v>75327</v>
      </c>
    </row>
    <row r="14">
      <c r="A14" s="1" t="s">
        <v>182</v>
      </c>
      <c r="B14" s="2">
        <v>46181.0</v>
      </c>
      <c r="C14" s="1" t="s">
        <v>183</v>
      </c>
      <c r="D14" s="1" t="str">
        <f t="array" ref="D14">_xlfn.XLOOKUP(C14,Master_Pelanggan!A:A,Master_Pelanggan!B:B)</f>
        <v>Ahmad Nugroho</v>
      </c>
      <c r="E14" s="1" t="str">
        <f t="array" ref="E14">_xlfn.XLOOKUP(C14,Master_Pelanggan!A:A,Master_Pelanggan!D:D)</f>
        <v>Reguler</v>
      </c>
      <c r="F14" s="1" t="s">
        <v>38</v>
      </c>
      <c r="G14" s="1" t="s">
        <v>210</v>
      </c>
      <c r="H14" s="17">
        <v>966.0</v>
      </c>
      <c r="I14" s="1" t="s">
        <v>19</v>
      </c>
      <c r="J14" s="1">
        <v>120.0</v>
      </c>
      <c r="K14" s="1" t="s">
        <v>46</v>
      </c>
      <c r="L14" s="18">
        <f t="shared" si="1"/>
        <v>115920</v>
      </c>
    </row>
    <row r="15">
      <c r="A15" s="1" t="s">
        <v>184</v>
      </c>
      <c r="B15" s="2">
        <v>46181.0</v>
      </c>
      <c r="C15" s="1" t="s">
        <v>185</v>
      </c>
      <c r="D15" s="1" t="str">
        <f t="array" ref="D15">_xlfn.XLOOKUP(C15,Master_Pelanggan!A:A,Master_Pelanggan!B:B)</f>
        <v>Andi Kurniawan</v>
      </c>
      <c r="E15" s="1" t="str">
        <f t="array" ref="E15">_xlfn.XLOOKUP(C15,Master_Pelanggan!A:A,Master_Pelanggan!D:D)</f>
        <v>Reguler</v>
      </c>
      <c r="F15" s="1" t="s">
        <v>17</v>
      </c>
      <c r="G15" s="1" t="s">
        <v>159</v>
      </c>
      <c r="H15" s="17">
        <v>1352.0</v>
      </c>
      <c r="I15" s="1" t="s">
        <v>27</v>
      </c>
      <c r="J15" s="1">
        <v>126.0</v>
      </c>
      <c r="K15" s="1" t="s">
        <v>18</v>
      </c>
      <c r="L15" s="18">
        <f t="shared" si="1"/>
        <v>170352</v>
      </c>
    </row>
    <row r="16">
      <c r="A16" s="1" t="s">
        <v>70</v>
      </c>
      <c r="B16" s="2">
        <v>46259.0</v>
      </c>
      <c r="C16" s="1" t="s">
        <v>71</v>
      </c>
      <c r="D16" s="1" t="str">
        <f t="array" ref="D16">_xlfn.XLOOKUP(C16,Master_Pelanggan!A:A,Master_Pelanggan!B:B)</f>
        <v>Hendra Gunawan</v>
      </c>
      <c r="E16" s="1" t="str">
        <f t="array" ref="E16">_xlfn.XLOOKUP(C16,Master_Pelanggan!A:A,Master_Pelanggan!D:D)</f>
        <v>Reguler</v>
      </c>
      <c r="F16" s="1" t="s">
        <v>17</v>
      </c>
      <c r="G16" s="1" t="s">
        <v>159</v>
      </c>
      <c r="H16" s="17">
        <v>1352.0</v>
      </c>
      <c r="I16" s="1" t="s">
        <v>23</v>
      </c>
      <c r="J16" s="1">
        <v>127.0</v>
      </c>
      <c r="K16" s="1" t="s">
        <v>18</v>
      </c>
      <c r="L16" s="18">
        <f t="shared" si="1"/>
        <v>171704</v>
      </c>
    </row>
    <row r="17">
      <c r="A17" s="1" t="s">
        <v>180</v>
      </c>
      <c r="B17" s="2">
        <v>46120.0</v>
      </c>
      <c r="C17" s="1" t="s">
        <v>181</v>
      </c>
      <c r="D17" s="1" t="str">
        <f t="array" ref="D17">_xlfn.XLOOKUP(C17,Master_Pelanggan!A:A,Master_Pelanggan!B:B)</f>
        <v>Maya Hidayat</v>
      </c>
      <c r="E17" s="1" t="str">
        <f t="array" ref="E17">_xlfn.XLOOKUP(C17,Master_Pelanggan!A:A,Master_Pelanggan!D:D)</f>
        <v>Reguler</v>
      </c>
      <c r="F17" s="1" t="s">
        <v>33</v>
      </c>
      <c r="G17" s="1" t="s">
        <v>150</v>
      </c>
      <c r="H17" s="17">
        <v>1444.0</v>
      </c>
      <c r="I17" s="1" t="s">
        <v>55</v>
      </c>
      <c r="J17" s="1">
        <v>127.0</v>
      </c>
      <c r="K17" s="1" t="s">
        <v>18</v>
      </c>
      <c r="L17" s="18">
        <f t="shared" si="1"/>
        <v>183388</v>
      </c>
    </row>
    <row r="18">
      <c r="A18" s="1" t="s">
        <v>85</v>
      </c>
      <c r="B18" s="2">
        <v>46248.0</v>
      </c>
      <c r="C18" s="1" t="s">
        <v>86</v>
      </c>
      <c r="D18" s="1" t="str">
        <f t="array" ref="D18">_xlfn.XLOOKUP(C18,Master_Pelanggan!A:A,Master_Pelanggan!B:B)</f>
        <v>Ahmad Lestari</v>
      </c>
      <c r="E18" s="1" t="str">
        <f t="array" ref="E18">_xlfn.XLOOKUP(C18,Master_Pelanggan!A:A,Master_Pelanggan!D:D)</f>
        <v>Subsidi</v>
      </c>
      <c r="F18" s="1" t="s">
        <v>38</v>
      </c>
      <c r="G18" s="1" t="s">
        <v>210</v>
      </c>
      <c r="H18" s="17">
        <v>966.0</v>
      </c>
      <c r="I18" s="1" t="s">
        <v>27</v>
      </c>
      <c r="J18" s="1">
        <v>132.0</v>
      </c>
      <c r="K18" s="1" t="s">
        <v>46</v>
      </c>
      <c r="L18" s="18">
        <f t="shared" si="1"/>
        <v>127512</v>
      </c>
    </row>
    <row r="19">
      <c r="A19" s="1" t="s">
        <v>205</v>
      </c>
      <c r="B19" s="2">
        <v>46120.0</v>
      </c>
      <c r="C19" s="1" t="s">
        <v>45</v>
      </c>
      <c r="D19" s="1" t="str">
        <f t="array" ref="D19">_xlfn.XLOOKUP(C19,Master_Pelanggan!A:A,Master_Pelanggan!B:B)</f>
        <v>Lia Setiawan</v>
      </c>
      <c r="E19" s="1" t="str">
        <f t="array" ref="E19">_xlfn.XLOOKUP(C19,Master_Pelanggan!A:A,Master_Pelanggan!D:D)</f>
        <v>Subsidi</v>
      </c>
      <c r="F19" s="1" t="s">
        <v>33</v>
      </c>
      <c r="G19" s="1" t="s">
        <v>150</v>
      </c>
      <c r="H19" s="17">
        <v>1444.0</v>
      </c>
      <c r="I19" s="1" t="s">
        <v>19</v>
      </c>
      <c r="J19" s="1">
        <v>133.0</v>
      </c>
      <c r="K19" s="1" t="s">
        <v>18</v>
      </c>
      <c r="L19" s="18">
        <f t="shared" si="1"/>
        <v>192052</v>
      </c>
    </row>
    <row r="20">
      <c r="A20" s="1" t="s">
        <v>97</v>
      </c>
      <c r="B20" s="2">
        <v>46254.0</v>
      </c>
      <c r="C20" s="1" t="s">
        <v>98</v>
      </c>
      <c r="D20" s="1" t="str">
        <f t="array" ref="D20">_xlfn.XLOOKUP(C20,Master_Pelanggan!A:A,Master_Pelanggan!B:B)</f>
        <v>Ari Setiawan</v>
      </c>
      <c r="E20" s="1" t="str">
        <f t="array" ref="E20">_xlfn.XLOOKUP(C20,Master_Pelanggan!A:A,Master_Pelanggan!D:D)</f>
        <v>Subsidi</v>
      </c>
      <c r="F20" s="1" t="s">
        <v>30</v>
      </c>
      <c r="G20" s="1" t="s">
        <v>266</v>
      </c>
      <c r="H20" s="17">
        <v>415.0</v>
      </c>
      <c r="I20" s="1" t="s">
        <v>23</v>
      </c>
      <c r="J20" s="1">
        <v>151.0</v>
      </c>
      <c r="K20" s="1" t="s">
        <v>18</v>
      </c>
      <c r="L20" s="18">
        <f t="shared" si="1"/>
        <v>62665</v>
      </c>
    </row>
    <row r="21">
      <c r="A21" s="1" t="s">
        <v>102</v>
      </c>
      <c r="B21" s="2">
        <v>46257.0</v>
      </c>
      <c r="C21" s="1" t="s">
        <v>105</v>
      </c>
      <c r="D21" s="1" t="str">
        <f t="array" ref="D21">_xlfn.XLOOKUP(C21,Master_Pelanggan!A:A,Master_Pelanggan!B:B)</f>
        <v>Indah Saputra</v>
      </c>
      <c r="E21" s="1" t="str">
        <f t="array" ref="E21">_xlfn.XLOOKUP(C21,Master_Pelanggan!A:A,Master_Pelanggan!D:D)</f>
        <v>Prioritas</v>
      </c>
      <c r="F21" s="1" t="s">
        <v>15</v>
      </c>
      <c r="G21" s="1" t="s">
        <v>177</v>
      </c>
      <c r="H21" s="17">
        <v>535.0</v>
      </c>
      <c r="I21" s="1" t="s">
        <v>19</v>
      </c>
      <c r="J21" s="1">
        <v>151.0</v>
      </c>
      <c r="K21" s="1" t="s">
        <v>18</v>
      </c>
      <c r="L21" s="18">
        <f t="shared" si="1"/>
        <v>80785</v>
      </c>
    </row>
    <row r="22">
      <c r="A22" s="1" t="s">
        <v>61</v>
      </c>
      <c r="B22" s="2">
        <v>46248.0</v>
      </c>
      <c r="C22" s="1" t="s">
        <v>62</v>
      </c>
      <c r="D22" s="1" t="str">
        <f t="array" ref="D22">_xlfn.XLOOKUP(C22,Master_Pelanggan!A:A,Master_Pelanggan!B:B)</f>
        <v>Ahmad Lestari</v>
      </c>
      <c r="E22" s="1" t="str">
        <f t="array" ref="E22">_xlfn.XLOOKUP(C22,Master_Pelanggan!A:A,Master_Pelanggan!D:D)</f>
        <v>Reguler</v>
      </c>
      <c r="F22" s="1" t="s">
        <v>33</v>
      </c>
      <c r="G22" s="1" t="s">
        <v>150</v>
      </c>
      <c r="H22" s="17">
        <v>1444.0</v>
      </c>
      <c r="I22" s="1" t="s">
        <v>23</v>
      </c>
      <c r="J22" s="1">
        <v>155.0</v>
      </c>
      <c r="K22" s="1" t="s">
        <v>46</v>
      </c>
      <c r="L22" s="18">
        <f t="shared" si="1"/>
        <v>223820</v>
      </c>
    </row>
    <row r="23">
      <c r="A23" s="1" t="s">
        <v>87</v>
      </c>
      <c r="B23" s="2">
        <v>46257.0</v>
      </c>
      <c r="C23" s="1" t="s">
        <v>88</v>
      </c>
      <c r="D23" s="1" t="str">
        <f t="array" ref="D23">_xlfn.XLOOKUP(C23,Master_Pelanggan!A:A,Master_Pelanggan!B:B)</f>
        <v>Eko Syahputra</v>
      </c>
      <c r="E23" s="1" t="str">
        <f t="array" ref="E23">_xlfn.XLOOKUP(C23,Master_Pelanggan!A:A,Master_Pelanggan!D:D)</f>
        <v>Subsidi</v>
      </c>
      <c r="F23" s="1" t="s">
        <v>33</v>
      </c>
      <c r="G23" s="1" t="s">
        <v>150</v>
      </c>
      <c r="H23" s="17">
        <v>1444.0</v>
      </c>
      <c r="I23" s="5" t="s">
        <v>227</v>
      </c>
      <c r="J23" s="1">
        <v>156.0</v>
      </c>
      <c r="K23" s="1" t="s">
        <v>18</v>
      </c>
      <c r="L23" s="18">
        <f t="shared" si="1"/>
        <v>225264</v>
      </c>
    </row>
    <row r="24">
      <c r="A24" s="1" t="s">
        <v>160</v>
      </c>
      <c r="B24" s="2">
        <v>46334.0</v>
      </c>
      <c r="C24" s="1" t="s">
        <v>161</v>
      </c>
      <c r="D24" s="1" t="str">
        <f t="array" ref="D24">_xlfn.XLOOKUP(C24,Master_Pelanggan!A:A,Master_Pelanggan!B:B)</f>
        <v>Hadi Suharto</v>
      </c>
      <c r="E24" s="1" t="str">
        <f t="array" ref="E24">_xlfn.XLOOKUP(C24,Master_Pelanggan!A:A,Master_Pelanggan!D:D)</f>
        <v>Prioritas</v>
      </c>
      <c r="F24" s="1" t="s">
        <v>38</v>
      </c>
      <c r="G24" s="1" t="s">
        <v>210</v>
      </c>
      <c r="H24" s="17">
        <v>966.0</v>
      </c>
      <c r="I24" s="1" t="s">
        <v>35</v>
      </c>
      <c r="J24" s="1">
        <v>161.0</v>
      </c>
      <c r="K24" s="1" t="s">
        <v>18</v>
      </c>
      <c r="L24" s="18">
        <f t="shared" si="1"/>
        <v>155526</v>
      </c>
    </row>
    <row r="25">
      <c r="A25" s="1" t="s">
        <v>43</v>
      </c>
      <c r="B25" s="2">
        <v>46303.0</v>
      </c>
      <c r="C25" s="5" t="s">
        <v>227</v>
      </c>
      <c r="D25" s="1" t="str">
        <f t="array" ref="D25">_xlfn.XLOOKUP(C25,Master_Pelanggan!A:A,Master_Pelanggan!B:B)</f>
        <v>#N/A</v>
      </c>
      <c r="E25" s="1" t="str">
        <f t="array" ref="E25">_xlfn.XLOOKUP(C25,Master_Pelanggan!A:A,Master_Pelanggan!D:D)</f>
        <v>#N/A</v>
      </c>
      <c r="F25" s="1" t="s">
        <v>15</v>
      </c>
      <c r="G25" s="1" t="s">
        <v>177</v>
      </c>
      <c r="H25" s="17">
        <v>535.0</v>
      </c>
      <c r="I25" s="1" t="s">
        <v>27</v>
      </c>
      <c r="J25" s="1">
        <v>162.0</v>
      </c>
      <c r="K25" s="1" t="s">
        <v>18</v>
      </c>
      <c r="L25" s="18">
        <f t="shared" si="1"/>
        <v>86670</v>
      </c>
    </row>
    <row r="26">
      <c r="A26" s="1" t="s">
        <v>47</v>
      </c>
      <c r="B26" s="2">
        <v>46089.0</v>
      </c>
      <c r="C26" s="1" t="s">
        <v>49</v>
      </c>
      <c r="D26" s="1" t="str">
        <f t="array" ref="D26">_xlfn.XLOOKUP(C26,Master_Pelanggan!A:A,Master_Pelanggan!B:B)</f>
        <v>Tri Suharto</v>
      </c>
      <c r="E26" s="1" t="str">
        <f t="array" ref="E26">_xlfn.XLOOKUP(C26,Master_Pelanggan!A:A,Master_Pelanggan!D:D)</f>
        <v>Reguler</v>
      </c>
      <c r="F26" s="1" t="s">
        <v>15</v>
      </c>
      <c r="G26" s="1" t="s">
        <v>177</v>
      </c>
      <c r="H26" s="17">
        <v>535.0</v>
      </c>
      <c r="I26" s="1" t="s">
        <v>19</v>
      </c>
      <c r="J26" s="1">
        <v>162.0</v>
      </c>
      <c r="K26" s="1" t="s">
        <v>18</v>
      </c>
      <c r="L26" s="18">
        <f t="shared" si="1"/>
        <v>86670</v>
      </c>
    </row>
    <row r="27">
      <c r="A27" s="1" t="s">
        <v>52</v>
      </c>
      <c r="B27" s="2">
        <v>46256.0</v>
      </c>
      <c r="C27" s="1" t="s">
        <v>54</v>
      </c>
      <c r="D27" s="1" t="str">
        <f t="array" ref="D27">_xlfn.XLOOKUP(C27,Master_Pelanggan!A:A,Master_Pelanggan!B:B)</f>
        <v>Nur Wahyuni</v>
      </c>
      <c r="E27" s="1" t="str">
        <f t="array" ref="E27">_xlfn.XLOOKUP(C27,Master_Pelanggan!A:A,Master_Pelanggan!D:D)</f>
        <v>Reguler</v>
      </c>
      <c r="F27" s="1" t="s">
        <v>30</v>
      </c>
      <c r="G27" s="1" t="s">
        <v>266</v>
      </c>
      <c r="H27" s="17">
        <v>415.0</v>
      </c>
      <c r="I27" s="1" t="s">
        <v>55</v>
      </c>
      <c r="J27" s="1">
        <v>162.0</v>
      </c>
      <c r="K27" s="1" t="s">
        <v>18</v>
      </c>
      <c r="L27" s="18">
        <f t="shared" si="1"/>
        <v>67230</v>
      </c>
    </row>
    <row r="28">
      <c r="A28" s="1" t="s">
        <v>130</v>
      </c>
      <c r="B28" s="2">
        <v>46263.0</v>
      </c>
      <c r="C28" s="1" t="s">
        <v>131</v>
      </c>
      <c r="D28" s="1" t="str">
        <f t="array" ref="D28">_xlfn.XLOOKUP(C28,Master_Pelanggan!A:A,Master_Pelanggan!B:B)</f>
        <v>Yuni Sari</v>
      </c>
      <c r="E28" s="1" t="str">
        <f t="array" ref="E28">_xlfn.XLOOKUP(C28,Master_Pelanggan!A:A,Master_Pelanggan!D:D)</f>
        <v>Prioritas</v>
      </c>
      <c r="F28" s="1" t="s">
        <v>33</v>
      </c>
      <c r="G28" s="1" t="s">
        <v>150</v>
      </c>
      <c r="H28" s="17">
        <v>1444.0</v>
      </c>
      <c r="I28" s="1" t="s">
        <v>19</v>
      </c>
      <c r="J28" s="1">
        <v>163.0</v>
      </c>
      <c r="K28" s="1" t="s">
        <v>18</v>
      </c>
      <c r="L28" s="18">
        <f t="shared" si="1"/>
        <v>235372</v>
      </c>
    </row>
    <row r="29">
      <c r="A29" s="1" t="s">
        <v>218</v>
      </c>
      <c r="B29" s="2">
        <v>46242.0</v>
      </c>
      <c r="C29" s="1" t="s">
        <v>181</v>
      </c>
      <c r="D29" s="1" t="str">
        <f t="array" ref="D29">_xlfn.XLOOKUP(C29,Master_Pelanggan!A:A,Master_Pelanggan!B:B)</f>
        <v>Maya Hidayat</v>
      </c>
      <c r="E29" s="1" t="str">
        <f t="array" ref="E29">_xlfn.XLOOKUP(C29,Master_Pelanggan!A:A,Master_Pelanggan!D:D)</f>
        <v>Reguler</v>
      </c>
      <c r="F29" s="1" t="s">
        <v>17</v>
      </c>
      <c r="G29" s="1" t="s">
        <v>159</v>
      </c>
      <c r="H29" s="17">
        <v>1352.0</v>
      </c>
      <c r="I29" s="5" t="s">
        <v>27</v>
      </c>
      <c r="J29" s="1">
        <v>163.0</v>
      </c>
      <c r="K29" s="1" t="s">
        <v>18</v>
      </c>
      <c r="L29" s="18">
        <f t="shared" si="1"/>
        <v>220376</v>
      </c>
    </row>
    <row r="30">
      <c r="A30" s="1" t="s">
        <v>242</v>
      </c>
      <c r="B30" s="2">
        <v>46247.0</v>
      </c>
      <c r="C30" s="1" t="s">
        <v>243</v>
      </c>
      <c r="D30" s="1" t="str">
        <f t="array" ref="D30">_xlfn.XLOOKUP(C30,Master_Pelanggan!A:A,Master_Pelanggan!B:B)</f>
        <v>Rudi Hidayat</v>
      </c>
      <c r="E30" s="1" t="str">
        <f t="array" ref="E30">_xlfn.XLOOKUP(C30,Master_Pelanggan!A:A,Master_Pelanggan!D:D)</f>
        <v>Reguler</v>
      </c>
      <c r="F30" s="1" t="s">
        <v>15</v>
      </c>
      <c r="G30" s="1" t="s">
        <v>177</v>
      </c>
      <c r="H30" s="17">
        <v>535.0</v>
      </c>
      <c r="I30" s="1" t="s">
        <v>35</v>
      </c>
      <c r="J30" s="1">
        <v>163.0</v>
      </c>
      <c r="K30" s="1" t="s">
        <v>18</v>
      </c>
      <c r="L30" s="18">
        <f t="shared" si="1"/>
        <v>87205</v>
      </c>
    </row>
    <row r="31">
      <c r="A31" s="1" t="s">
        <v>193</v>
      </c>
      <c r="B31" s="2">
        <v>46030.0</v>
      </c>
      <c r="C31" s="1" t="s">
        <v>195</v>
      </c>
      <c r="D31" s="1" t="str">
        <f t="array" ref="D31">_xlfn.XLOOKUP(C31,Master_Pelanggan!A:A,Master_Pelanggan!B:B)</f>
        <v>Lia Pratama</v>
      </c>
      <c r="E31" s="1" t="str">
        <f t="array" ref="E31">_xlfn.XLOOKUP(C31,Master_Pelanggan!A:A,Master_Pelanggan!D:D)</f>
        <v>Reguler</v>
      </c>
      <c r="F31" s="1" t="s">
        <v>38</v>
      </c>
      <c r="G31" s="1" t="s">
        <v>210</v>
      </c>
      <c r="H31" s="17">
        <v>966.0</v>
      </c>
      <c r="I31" s="1" t="s">
        <v>35</v>
      </c>
      <c r="J31" s="1">
        <v>166.0</v>
      </c>
      <c r="K31" s="1" t="s">
        <v>18</v>
      </c>
      <c r="L31" s="18">
        <f t="shared" si="1"/>
        <v>160356</v>
      </c>
    </row>
    <row r="32">
      <c r="A32" s="1" t="s">
        <v>144</v>
      </c>
      <c r="B32" s="2">
        <v>46211.0</v>
      </c>
      <c r="C32" s="1" t="s">
        <v>145</v>
      </c>
      <c r="D32" s="1" t="str">
        <f t="array" ref="D32">_xlfn.XLOOKUP(C32,Master_Pelanggan!A:A,Master_Pelanggan!B:B)</f>
        <v>Andi Wahyuni</v>
      </c>
      <c r="E32" s="1" t="str">
        <f t="array" ref="E32">_xlfn.XLOOKUP(C32,Master_Pelanggan!A:A,Master_Pelanggan!D:D)</f>
        <v>Prioritas</v>
      </c>
      <c r="F32" s="1" t="s">
        <v>38</v>
      </c>
      <c r="G32" s="1" t="s">
        <v>210</v>
      </c>
      <c r="H32" s="17">
        <v>966.0</v>
      </c>
      <c r="I32" s="1" t="s">
        <v>55</v>
      </c>
      <c r="J32" s="1">
        <v>170.0</v>
      </c>
      <c r="K32" s="1" t="s">
        <v>18</v>
      </c>
      <c r="L32" s="18">
        <f t="shared" si="1"/>
        <v>164220</v>
      </c>
    </row>
    <row r="33">
      <c r="A33" s="1" t="s">
        <v>142</v>
      </c>
      <c r="B33" s="2">
        <v>46249.0</v>
      </c>
      <c r="C33" s="1" t="s">
        <v>143</v>
      </c>
      <c r="D33" s="1" t="str">
        <f t="array" ref="D33">_xlfn.XLOOKUP(C33,Master_Pelanggan!A:A,Master_Pelanggan!B:B)</f>
        <v>Rudi Wibowo</v>
      </c>
      <c r="E33" s="1" t="str">
        <f t="array" ref="E33">_xlfn.XLOOKUP(C33,Master_Pelanggan!A:A,Master_Pelanggan!D:D)</f>
        <v>Subsidi</v>
      </c>
      <c r="F33" s="1" t="s">
        <v>33</v>
      </c>
      <c r="G33" s="1" t="s">
        <v>150</v>
      </c>
      <c r="H33" s="17">
        <v>1444.0</v>
      </c>
      <c r="I33" s="1" t="s">
        <v>55</v>
      </c>
      <c r="J33" s="1">
        <v>173.0</v>
      </c>
      <c r="K33" s="1" t="s">
        <v>18</v>
      </c>
      <c r="L33" s="18">
        <f t="shared" si="1"/>
        <v>249812</v>
      </c>
    </row>
    <row r="34">
      <c r="A34" s="1" t="s">
        <v>128</v>
      </c>
      <c r="B34" s="2">
        <v>46256.0</v>
      </c>
      <c r="C34" s="1" t="s">
        <v>129</v>
      </c>
      <c r="D34" s="1" t="str">
        <f t="array" ref="D34">_xlfn.XLOOKUP(C34,Master_Pelanggan!A:A,Master_Pelanggan!B:B)</f>
        <v>Putri Kurniawan</v>
      </c>
      <c r="E34" s="1" t="str">
        <f t="array" ref="E34">_xlfn.XLOOKUP(C34,Master_Pelanggan!A:A,Master_Pelanggan!D:D)</f>
        <v>Reguler</v>
      </c>
      <c r="F34" s="1" t="s">
        <v>15</v>
      </c>
      <c r="G34" s="1" t="s">
        <v>177</v>
      </c>
      <c r="H34" s="17">
        <v>535.0</v>
      </c>
      <c r="I34" s="1" t="s">
        <v>55</v>
      </c>
      <c r="J34" s="1">
        <v>175.0</v>
      </c>
      <c r="K34" s="1" t="s">
        <v>18</v>
      </c>
      <c r="L34" s="18">
        <f t="shared" si="1"/>
        <v>93625</v>
      </c>
    </row>
    <row r="35">
      <c r="A35" s="1" t="s">
        <v>99</v>
      </c>
      <c r="B35" s="2">
        <v>46262.0</v>
      </c>
      <c r="C35" s="1" t="s">
        <v>100</v>
      </c>
      <c r="D35" s="1" t="str">
        <f t="array" ref="D35">_xlfn.XLOOKUP(C35,Master_Pelanggan!A:A,Master_Pelanggan!B:B)</f>
        <v>Hendra Pratama</v>
      </c>
      <c r="E35" s="1" t="str">
        <f t="array" ref="E35">_xlfn.XLOOKUP(C35,Master_Pelanggan!A:A,Master_Pelanggan!D:D)</f>
        <v>Subsidi</v>
      </c>
      <c r="F35" s="1" t="s">
        <v>38</v>
      </c>
      <c r="G35" s="1" t="s">
        <v>210</v>
      </c>
      <c r="H35" s="17">
        <v>966.0</v>
      </c>
      <c r="I35" s="1" t="s">
        <v>55</v>
      </c>
      <c r="J35" s="1">
        <v>176.0</v>
      </c>
      <c r="K35" s="1" t="s">
        <v>46</v>
      </c>
      <c r="L35" s="18">
        <f t="shared" si="1"/>
        <v>170016</v>
      </c>
    </row>
    <row r="36">
      <c r="A36" s="1" t="s">
        <v>225</v>
      </c>
      <c r="B36" s="2">
        <v>46261.0</v>
      </c>
      <c r="C36" s="1" t="s">
        <v>64</v>
      </c>
      <c r="D36" s="1" t="str">
        <f t="array" ref="D36">_xlfn.XLOOKUP(C36,Master_Pelanggan!A:A,Master_Pelanggan!B:B)</f>
        <v>Eko Nugroho</v>
      </c>
      <c r="E36" s="1" t="str">
        <f t="array" ref="E36">_xlfn.XLOOKUP(C36,Master_Pelanggan!A:A,Master_Pelanggan!D:D)</f>
        <v>Reguler</v>
      </c>
      <c r="F36" s="1" t="s">
        <v>38</v>
      </c>
      <c r="G36" s="1" t="s">
        <v>210</v>
      </c>
      <c r="H36" s="17">
        <v>966.0</v>
      </c>
      <c r="I36" s="1" t="s">
        <v>55</v>
      </c>
      <c r="J36" s="1">
        <v>176.0</v>
      </c>
      <c r="K36" s="1" t="s">
        <v>46</v>
      </c>
      <c r="L36" s="18">
        <f t="shared" si="1"/>
        <v>170016</v>
      </c>
    </row>
    <row r="37">
      <c r="A37" s="1" t="s">
        <v>238</v>
      </c>
      <c r="B37" s="2">
        <v>46242.0</v>
      </c>
      <c r="C37" s="1" t="s">
        <v>239</v>
      </c>
      <c r="D37" s="1" t="str">
        <f t="array" ref="D37">_xlfn.XLOOKUP(C37,Master_Pelanggan!A:A,Master_Pelanggan!B:B)</f>
        <v>Ratna Syahputra</v>
      </c>
      <c r="E37" s="1" t="str">
        <f t="array" ref="E37">_xlfn.XLOOKUP(C37,Master_Pelanggan!A:A,Master_Pelanggan!D:D)</f>
        <v>Reguler</v>
      </c>
      <c r="F37" s="1" t="s">
        <v>33</v>
      </c>
      <c r="G37" s="1" t="s">
        <v>150</v>
      </c>
      <c r="H37" s="17">
        <v>1444.0</v>
      </c>
      <c r="I37" s="1" t="s">
        <v>55</v>
      </c>
      <c r="J37" s="1">
        <v>178.0</v>
      </c>
      <c r="K37" s="1" t="s">
        <v>18</v>
      </c>
      <c r="L37" s="18">
        <f t="shared" si="1"/>
        <v>257032</v>
      </c>
    </row>
    <row r="38">
      <c r="A38" s="1" t="s">
        <v>233</v>
      </c>
      <c r="B38" s="2">
        <v>46250.0</v>
      </c>
      <c r="C38" s="5" t="s">
        <v>227</v>
      </c>
      <c r="D38" s="1" t="str">
        <f t="array" ref="D38">_xlfn.XLOOKUP(C38,Master_Pelanggan!A:A,Master_Pelanggan!B:B)</f>
        <v>#N/A</v>
      </c>
      <c r="E38" s="1" t="str">
        <f t="array" ref="E38">_xlfn.XLOOKUP(C38,Master_Pelanggan!A:A,Master_Pelanggan!D:D)</f>
        <v>#N/A</v>
      </c>
      <c r="F38" s="1" t="s">
        <v>30</v>
      </c>
      <c r="G38" s="1" t="s">
        <v>266</v>
      </c>
      <c r="H38" s="17">
        <v>415.0</v>
      </c>
      <c r="I38" s="1" t="s">
        <v>27</v>
      </c>
      <c r="J38" s="1">
        <v>179.0</v>
      </c>
      <c r="K38" s="1" t="s">
        <v>18</v>
      </c>
      <c r="L38" s="18">
        <f t="shared" si="1"/>
        <v>74285</v>
      </c>
    </row>
    <row r="39">
      <c r="A39" s="1" t="s">
        <v>262</v>
      </c>
      <c r="B39" s="2">
        <v>46030.0</v>
      </c>
      <c r="C39" s="5" t="s">
        <v>227</v>
      </c>
      <c r="D39" s="1" t="str">
        <f t="array" ref="D39">_xlfn.XLOOKUP(C39,Master_Pelanggan!A:A,Master_Pelanggan!B:B)</f>
        <v>#N/A</v>
      </c>
      <c r="E39" s="1" t="str">
        <f t="array" ref="E39">_xlfn.XLOOKUP(C39,Master_Pelanggan!A:A,Master_Pelanggan!D:D)</f>
        <v>#N/A</v>
      </c>
      <c r="F39" s="1" t="s">
        <v>33</v>
      </c>
      <c r="G39" s="1" t="s">
        <v>150</v>
      </c>
      <c r="H39" s="17">
        <v>1444.0</v>
      </c>
      <c r="I39" s="1" t="s">
        <v>27</v>
      </c>
      <c r="J39" s="1">
        <v>179.0</v>
      </c>
      <c r="K39" s="1" t="s">
        <v>18</v>
      </c>
      <c r="L39" s="18">
        <f t="shared" si="1"/>
        <v>258476</v>
      </c>
    </row>
    <row r="40">
      <c r="A40" s="1" t="s">
        <v>32</v>
      </c>
      <c r="B40" s="2">
        <v>46273.0</v>
      </c>
      <c r="C40" s="1" t="s">
        <v>34</v>
      </c>
      <c r="D40" s="1" t="str">
        <f t="array" ref="D40">_xlfn.XLOOKUP(C40,Master_Pelanggan!A:A,Master_Pelanggan!B:B)</f>
        <v>Ayu Astuti</v>
      </c>
      <c r="E40" s="1" t="str">
        <f t="array" ref="E40">_xlfn.XLOOKUP(C40,Master_Pelanggan!A:A,Master_Pelanggan!D:D)</f>
        <v>Reguler</v>
      </c>
      <c r="F40" s="1" t="s">
        <v>30</v>
      </c>
      <c r="G40" s="1" t="s">
        <v>266</v>
      </c>
      <c r="H40" s="17">
        <v>415.0</v>
      </c>
      <c r="I40" s="1" t="s">
        <v>35</v>
      </c>
      <c r="J40" s="1">
        <v>181.0</v>
      </c>
      <c r="K40" s="1" t="s">
        <v>18</v>
      </c>
      <c r="L40" s="18">
        <f t="shared" si="1"/>
        <v>75115</v>
      </c>
    </row>
    <row r="41">
      <c r="A41" s="1" t="s">
        <v>36</v>
      </c>
      <c r="B41" s="2">
        <v>46242.0</v>
      </c>
      <c r="C41" s="1" t="s">
        <v>37</v>
      </c>
      <c r="D41" s="1" t="str">
        <f t="array" ref="D41">_xlfn.XLOOKUP(C41,Master_Pelanggan!A:A,Master_Pelanggan!B:B)</f>
        <v>Muhammad Kurniawan</v>
      </c>
      <c r="E41" s="1" t="str">
        <f t="array" ref="E41">_xlfn.XLOOKUP(C41,Master_Pelanggan!A:A,Master_Pelanggan!D:D)</f>
        <v>Reguler</v>
      </c>
      <c r="F41" s="1" t="s">
        <v>38</v>
      </c>
      <c r="G41" s="1" t="s">
        <v>210</v>
      </c>
      <c r="H41" s="17">
        <v>966.0</v>
      </c>
      <c r="I41" s="1" t="s">
        <v>23</v>
      </c>
      <c r="J41" s="1">
        <v>181.0</v>
      </c>
      <c r="K41" s="1" t="s">
        <v>18</v>
      </c>
      <c r="L41" s="18">
        <f t="shared" si="1"/>
        <v>174846</v>
      </c>
    </row>
    <row r="42">
      <c r="A42" s="1" t="s">
        <v>79</v>
      </c>
      <c r="B42" s="2">
        <v>46248.0</v>
      </c>
      <c r="C42" s="1" t="s">
        <v>80</v>
      </c>
      <c r="D42" s="1" t="str">
        <f t="array" ref="D42">_xlfn.XLOOKUP(C42,Master_Pelanggan!A:A,Master_Pelanggan!B:B)</f>
        <v>Rizky Gunawan</v>
      </c>
      <c r="E42" s="1" t="str">
        <f t="array" ref="E42">_xlfn.XLOOKUP(C42,Master_Pelanggan!A:A,Master_Pelanggan!D:D)</f>
        <v>Reguler</v>
      </c>
      <c r="F42" s="1" t="s">
        <v>17</v>
      </c>
      <c r="G42" s="1" t="s">
        <v>159</v>
      </c>
      <c r="H42" s="17">
        <v>1352.0</v>
      </c>
      <c r="I42" s="1" t="s">
        <v>19</v>
      </c>
      <c r="J42" s="1">
        <v>181.0</v>
      </c>
      <c r="K42" s="1" t="s">
        <v>18</v>
      </c>
      <c r="L42" s="18">
        <f t="shared" si="1"/>
        <v>244712</v>
      </c>
    </row>
    <row r="43">
      <c r="A43" s="1" t="s">
        <v>171</v>
      </c>
      <c r="B43" s="2">
        <v>46259.0</v>
      </c>
      <c r="C43" s="1" t="s">
        <v>172</v>
      </c>
      <c r="D43" s="1" t="str">
        <f t="array" ref="D43">_xlfn.XLOOKUP(C43,Master_Pelanggan!A:A,Master_Pelanggan!B:B)</f>
        <v>Hendra Sinaga</v>
      </c>
      <c r="E43" s="1" t="str">
        <f t="array" ref="E43">_xlfn.XLOOKUP(C43,Master_Pelanggan!A:A,Master_Pelanggan!D:D)</f>
        <v>Reguler</v>
      </c>
      <c r="F43" s="1" t="s">
        <v>30</v>
      </c>
      <c r="G43" s="1" t="s">
        <v>266</v>
      </c>
      <c r="H43" s="17">
        <v>415.0</v>
      </c>
      <c r="I43" s="1" t="s">
        <v>23</v>
      </c>
      <c r="J43" s="1">
        <v>183.0</v>
      </c>
      <c r="K43" s="1" t="s">
        <v>18</v>
      </c>
      <c r="L43" s="18">
        <f t="shared" si="1"/>
        <v>75945</v>
      </c>
    </row>
    <row r="44">
      <c r="A44" s="1" t="s">
        <v>199</v>
      </c>
      <c r="B44" s="2">
        <v>46181.0</v>
      </c>
      <c r="C44" s="1" t="s">
        <v>200</v>
      </c>
      <c r="D44" s="1" t="str">
        <f t="array" ref="D44">_xlfn.XLOOKUP(C44,Master_Pelanggan!A:A,Master_Pelanggan!B:B)</f>
        <v>Indah Wahyuni</v>
      </c>
      <c r="E44" s="1" t="str">
        <f t="array" ref="E44">_xlfn.XLOOKUP(C44,Master_Pelanggan!A:A,Master_Pelanggan!D:D)</f>
        <v>Prioritas</v>
      </c>
      <c r="F44" s="1" t="s">
        <v>30</v>
      </c>
      <c r="G44" s="1" t="s">
        <v>266</v>
      </c>
      <c r="H44" s="17">
        <v>415.0</v>
      </c>
      <c r="I44" s="1" t="s">
        <v>23</v>
      </c>
      <c r="J44" s="1">
        <v>186.0</v>
      </c>
      <c r="K44" s="1" t="s">
        <v>18</v>
      </c>
      <c r="L44" s="18">
        <f t="shared" si="1"/>
        <v>77190</v>
      </c>
    </row>
    <row r="45">
      <c r="A45" s="1" t="s">
        <v>191</v>
      </c>
      <c r="B45" s="2">
        <v>46251.0</v>
      </c>
      <c r="C45" s="1" t="s">
        <v>192</v>
      </c>
      <c r="D45" s="1" t="str">
        <f t="array" ref="D45">_xlfn.XLOOKUP(C45,Master_Pelanggan!A:A,Master_Pelanggan!B:B)</f>
        <v>Rizky Pratama</v>
      </c>
      <c r="E45" s="1" t="str">
        <f t="array" ref="E45">_xlfn.XLOOKUP(C45,Master_Pelanggan!A:A,Master_Pelanggan!D:D)</f>
        <v>Reguler</v>
      </c>
      <c r="F45" s="1" t="s">
        <v>30</v>
      </c>
      <c r="G45" s="1" t="s">
        <v>266</v>
      </c>
      <c r="H45" s="17">
        <v>415.0</v>
      </c>
      <c r="I45" s="1" t="s">
        <v>23</v>
      </c>
      <c r="J45" s="1">
        <v>187.0</v>
      </c>
      <c r="K45" s="1" t="s">
        <v>18</v>
      </c>
      <c r="L45" s="18">
        <f t="shared" si="1"/>
        <v>77605</v>
      </c>
    </row>
    <row r="46">
      <c r="A46" s="1" t="s">
        <v>20</v>
      </c>
      <c r="B46" s="2">
        <v>46120.0</v>
      </c>
      <c r="C46" s="1" t="s">
        <v>22</v>
      </c>
      <c r="D46" s="1" t="str">
        <f t="array" ref="D46">_xlfn.XLOOKUP(C46,Master_Pelanggan!A:A,Master_Pelanggan!B:B)</f>
        <v>Agus Setiawan</v>
      </c>
      <c r="E46" s="1" t="str">
        <f t="array" ref="E46">_xlfn.XLOOKUP(C46,Master_Pelanggan!A:A,Master_Pelanggan!D:D)</f>
        <v>Subsidi</v>
      </c>
      <c r="F46" s="1" t="s">
        <v>15</v>
      </c>
      <c r="G46" s="1" t="s">
        <v>177</v>
      </c>
      <c r="H46" s="17">
        <v>535.0</v>
      </c>
      <c r="I46" s="1" t="s">
        <v>23</v>
      </c>
      <c r="J46" s="1">
        <v>188.0</v>
      </c>
      <c r="K46" s="1" t="s">
        <v>18</v>
      </c>
      <c r="L46" s="18">
        <f t="shared" si="1"/>
        <v>100580</v>
      </c>
    </row>
    <row r="47">
      <c r="A47" s="1" t="s">
        <v>127</v>
      </c>
      <c r="B47" s="2">
        <v>46248.0</v>
      </c>
      <c r="C47" s="5" t="s">
        <v>227</v>
      </c>
      <c r="D47" s="1" t="str">
        <f t="array" ref="D47">_xlfn.XLOOKUP(C47,Master_Pelanggan!A:A,Master_Pelanggan!B:B)</f>
        <v>#N/A</v>
      </c>
      <c r="E47" s="1" t="str">
        <f t="array" ref="E47">_xlfn.XLOOKUP(C47,Master_Pelanggan!A:A,Master_Pelanggan!D:D)</f>
        <v>#N/A</v>
      </c>
      <c r="F47" s="1" t="s">
        <v>17</v>
      </c>
      <c r="G47" s="1" t="s">
        <v>159</v>
      </c>
      <c r="H47" s="17">
        <v>1352.0</v>
      </c>
      <c r="I47" s="1" t="s">
        <v>35</v>
      </c>
      <c r="J47" s="1">
        <v>190.0</v>
      </c>
      <c r="K47" s="1" t="s">
        <v>18</v>
      </c>
      <c r="L47" s="18">
        <f t="shared" si="1"/>
        <v>256880</v>
      </c>
    </row>
    <row r="48">
      <c r="A48" s="1" t="s">
        <v>244</v>
      </c>
      <c r="B48" s="2">
        <v>46260.0</v>
      </c>
      <c r="C48" s="1" t="s">
        <v>246</v>
      </c>
      <c r="D48" s="1" t="str">
        <f t="array" ref="D48">_xlfn.XLOOKUP(C48,Master_Pelanggan!A:A,Master_Pelanggan!B:B)</f>
        <v>Andi Rahayu</v>
      </c>
      <c r="E48" s="1" t="str">
        <f t="array" ref="E48">_xlfn.XLOOKUP(C48,Master_Pelanggan!A:A,Master_Pelanggan!D:D)</f>
        <v>Reguler</v>
      </c>
      <c r="F48" s="1" t="s">
        <v>17</v>
      </c>
      <c r="G48" s="1" t="s">
        <v>159</v>
      </c>
      <c r="H48" s="17">
        <v>1352.0</v>
      </c>
      <c r="I48" s="1" t="s">
        <v>35</v>
      </c>
      <c r="J48" s="1">
        <v>192.0</v>
      </c>
      <c r="K48" s="1" t="s">
        <v>18</v>
      </c>
      <c r="L48" s="18">
        <f t="shared" si="1"/>
        <v>259584</v>
      </c>
    </row>
    <row r="49">
      <c r="A49" s="1" t="s">
        <v>260</v>
      </c>
      <c r="B49" s="2">
        <v>46061.0</v>
      </c>
      <c r="C49" s="1" t="s">
        <v>261</v>
      </c>
      <c r="D49" s="1" t="str">
        <f t="array" ref="D49">_xlfn.XLOOKUP(C49,Master_Pelanggan!A:A,Master_Pelanggan!B:B)</f>
        <v>Lia Wahyuni</v>
      </c>
      <c r="E49" s="1" t="str">
        <f t="array" ref="E49">_xlfn.XLOOKUP(C49,Master_Pelanggan!A:A,Master_Pelanggan!D:D)</f>
        <v>Reguler</v>
      </c>
      <c r="F49" s="1" t="s">
        <v>30</v>
      </c>
      <c r="G49" s="1" t="s">
        <v>266</v>
      </c>
      <c r="H49" s="17">
        <v>415.0</v>
      </c>
      <c r="I49" s="1" t="s">
        <v>23</v>
      </c>
      <c r="J49" s="1">
        <v>197.0</v>
      </c>
      <c r="K49" s="1" t="s">
        <v>18</v>
      </c>
      <c r="L49" s="18">
        <f t="shared" si="1"/>
        <v>81755</v>
      </c>
    </row>
    <row r="50">
      <c r="A50" s="1" t="s">
        <v>107</v>
      </c>
      <c r="B50" s="2">
        <v>46260.0</v>
      </c>
      <c r="C50" s="1" t="s">
        <v>109</v>
      </c>
      <c r="D50" s="1" t="str">
        <f t="array" ref="D50">_xlfn.XLOOKUP(C50,Master_Pelanggan!A:A,Master_Pelanggan!B:B)</f>
        <v>Rizky Gunawan</v>
      </c>
      <c r="E50" s="1" t="str">
        <f t="array" ref="E50">_xlfn.XLOOKUP(C50,Master_Pelanggan!A:A,Master_Pelanggan!D:D)</f>
        <v>Prioritas</v>
      </c>
      <c r="F50" s="1" t="s">
        <v>15</v>
      </c>
      <c r="G50" s="1" t="s">
        <v>177</v>
      </c>
      <c r="H50" s="17">
        <v>535.0</v>
      </c>
      <c r="I50" s="1" t="s">
        <v>55</v>
      </c>
      <c r="J50" s="1">
        <v>198.0</v>
      </c>
      <c r="K50" s="1" t="s">
        <v>18</v>
      </c>
      <c r="L50" s="18">
        <f t="shared" si="1"/>
        <v>105930</v>
      </c>
    </row>
    <row r="51">
      <c r="A51" s="1" t="s">
        <v>248</v>
      </c>
      <c r="B51" s="2">
        <v>46273.0</v>
      </c>
      <c r="C51" s="1" t="s">
        <v>250</v>
      </c>
      <c r="D51" s="1" t="str">
        <f t="array" ref="D51">_xlfn.XLOOKUP(C51,Master_Pelanggan!A:A,Master_Pelanggan!B:B)</f>
        <v>Nur Rahayu</v>
      </c>
      <c r="E51" s="1" t="str">
        <f t="array" ref="E51">_xlfn.XLOOKUP(C51,Master_Pelanggan!A:A,Master_Pelanggan!D:D)</f>
        <v>Reguler</v>
      </c>
      <c r="F51" s="1" t="s">
        <v>38</v>
      </c>
      <c r="G51" s="1" t="s">
        <v>210</v>
      </c>
      <c r="H51" s="17">
        <v>966.0</v>
      </c>
      <c r="I51" s="1" t="s">
        <v>35</v>
      </c>
      <c r="J51" s="1">
        <v>200.0</v>
      </c>
      <c r="K51" s="1" t="s">
        <v>18</v>
      </c>
      <c r="L51" s="18">
        <f t="shared" si="1"/>
        <v>193200</v>
      </c>
    </row>
    <row r="52">
      <c r="A52" s="1" t="s">
        <v>83</v>
      </c>
      <c r="B52" s="2">
        <v>46211.0</v>
      </c>
      <c r="C52" s="1" t="s">
        <v>84</v>
      </c>
      <c r="D52" s="1" t="str">
        <f t="array" ref="D52">_xlfn.XLOOKUP(C52,Master_Pelanggan!A:A,Master_Pelanggan!B:B)</f>
        <v>Ari Siregar</v>
      </c>
      <c r="E52" s="1" t="str">
        <f t="array" ref="E52">_xlfn.XLOOKUP(C52,Master_Pelanggan!A:A,Master_Pelanggan!D:D)</f>
        <v>Reguler</v>
      </c>
      <c r="F52" s="1" t="s">
        <v>30</v>
      </c>
      <c r="G52" s="1" t="s">
        <v>266</v>
      </c>
      <c r="H52" s="17">
        <v>415.0</v>
      </c>
      <c r="I52" s="1" t="s">
        <v>55</v>
      </c>
      <c r="J52" s="1">
        <v>205.0</v>
      </c>
      <c r="K52" s="1" t="s">
        <v>18</v>
      </c>
      <c r="L52" s="18">
        <f t="shared" si="1"/>
        <v>85075</v>
      </c>
    </row>
    <row r="53">
      <c r="A53" s="1" t="s">
        <v>89</v>
      </c>
      <c r="B53" s="2">
        <v>46334.0</v>
      </c>
      <c r="C53" s="1" t="s">
        <v>90</v>
      </c>
      <c r="D53" s="1" t="str">
        <f t="array" ref="D53">_xlfn.XLOOKUP(C53,Master_Pelanggan!A:A,Master_Pelanggan!B:B)</f>
        <v>Lia Saputra</v>
      </c>
      <c r="E53" s="1" t="str">
        <f t="array" ref="E53">_xlfn.XLOOKUP(C53,Master_Pelanggan!A:A,Master_Pelanggan!D:D)</f>
        <v>Subsidi</v>
      </c>
      <c r="F53" s="1" t="s">
        <v>38</v>
      </c>
      <c r="G53" s="1" t="s">
        <v>210</v>
      </c>
      <c r="H53" s="17">
        <v>966.0</v>
      </c>
      <c r="I53" s="1" t="s">
        <v>23</v>
      </c>
      <c r="J53" s="1">
        <v>208.0</v>
      </c>
      <c r="K53" s="1" t="s">
        <v>18</v>
      </c>
      <c r="L53" s="18">
        <f t="shared" si="1"/>
        <v>200928</v>
      </c>
    </row>
    <row r="54">
      <c r="A54" s="1" t="s">
        <v>125</v>
      </c>
      <c r="B54" s="2">
        <v>46256.0</v>
      </c>
      <c r="C54" s="1" t="s">
        <v>126</v>
      </c>
      <c r="D54" s="1" t="str">
        <f t="array" ref="D54">_xlfn.XLOOKUP(C54,Master_Pelanggan!A:A,Master_Pelanggan!B:B)</f>
        <v>Lia Pratama</v>
      </c>
      <c r="E54" s="1" t="str">
        <f t="array" ref="E54">_xlfn.XLOOKUP(C54,Master_Pelanggan!A:A,Master_Pelanggan!D:D)</f>
        <v>Reguler</v>
      </c>
      <c r="F54" s="1" t="s">
        <v>30</v>
      </c>
      <c r="G54" s="1" t="s">
        <v>266</v>
      </c>
      <c r="H54" s="17">
        <v>415.0</v>
      </c>
      <c r="I54" s="1" t="s">
        <v>27</v>
      </c>
      <c r="J54" s="1">
        <v>213.0</v>
      </c>
      <c r="K54" s="1" t="s">
        <v>18</v>
      </c>
      <c r="L54" s="18">
        <f t="shared" si="1"/>
        <v>88395</v>
      </c>
    </row>
    <row r="55">
      <c r="A55" s="1" t="s">
        <v>203</v>
      </c>
      <c r="B55" s="2">
        <v>46260.0</v>
      </c>
      <c r="C55" s="1" t="s">
        <v>204</v>
      </c>
      <c r="D55" s="1" t="str">
        <f t="array" ref="D55">_xlfn.XLOOKUP(C55,Master_Pelanggan!A:A,Master_Pelanggan!B:B)</f>
        <v>Putri Setiawan</v>
      </c>
      <c r="E55" s="1" t="str">
        <f t="array" ref="E55">_xlfn.XLOOKUP(C55,Master_Pelanggan!A:A,Master_Pelanggan!D:D)</f>
        <v>Prioritas</v>
      </c>
      <c r="F55" s="1" t="s">
        <v>15</v>
      </c>
      <c r="G55" s="1" t="s">
        <v>177</v>
      </c>
      <c r="H55" s="17">
        <v>535.0</v>
      </c>
      <c r="I55" s="1" t="s">
        <v>35</v>
      </c>
      <c r="J55" s="1">
        <v>213.0</v>
      </c>
      <c r="K55" s="1" t="s">
        <v>18</v>
      </c>
      <c r="L55" s="18">
        <f t="shared" si="1"/>
        <v>113955</v>
      </c>
    </row>
    <row r="56">
      <c r="A56" s="1" t="s">
        <v>168</v>
      </c>
      <c r="B56" s="2">
        <v>46211.0</v>
      </c>
      <c r="C56" s="1" t="s">
        <v>169</v>
      </c>
      <c r="D56" s="1" t="str">
        <f t="array" ref="D56">_xlfn.XLOOKUP(C56,Master_Pelanggan!A:A,Master_Pelanggan!B:B)</f>
        <v>Rudi Suharto</v>
      </c>
      <c r="E56" s="1" t="str">
        <f t="array" ref="E56">_xlfn.XLOOKUP(C56,Master_Pelanggan!A:A,Master_Pelanggan!D:D)</f>
        <v>Reguler</v>
      </c>
      <c r="F56" s="1" t="s">
        <v>30</v>
      </c>
      <c r="G56" s="1" t="s">
        <v>266</v>
      </c>
      <c r="H56" s="17">
        <v>415.0</v>
      </c>
      <c r="I56" s="1" t="s">
        <v>19</v>
      </c>
      <c r="J56" s="1">
        <v>214.0</v>
      </c>
      <c r="K56" s="1" t="s">
        <v>18</v>
      </c>
      <c r="L56" s="18">
        <f t="shared" si="1"/>
        <v>88810</v>
      </c>
    </row>
    <row r="57">
      <c r="A57" s="1" t="s">
        <v>121</v>
      </c>
      <c r="B57" s="2">
        <v>46334.0</v>
      </c>
      <c r="C57" s="1" t="s">
        <v>122</v>
      </c>
      <c r="D57" s="1" t="str">
        <f t="array" ref="D57">_xlfn.XLOOKUP(C57,Master_Pelanggan!A:A,Master_Pelanggan!B:B)</f>
        <v>Muhammad Wijaya</v>
      </c>
      <c r="E57" s="1" t="str">
        <f t="array" ref="E57">_xlfn.XLOOKUP(C57,Master_Pelanggan!A:A,Master_Pelanggan!D:D)</f>
        <v>Reguler</v>
      </c>
      <c r="F57" s="1" t="s">
        <v>30</v>
      </c>
      <c r="G57" s="1" t="s">
        <v>266</v>
      </c>
      <c r="H57" s="17">
        <v>415.0</v>
      </c>
      <c r="I57" s="1" t="s">
        <v>23</v>
      </c>
      <c r="J57" s="1">
        <v>215.0</v>
      </c>
      <c r="K57" s="1" t="s">
        <v>18</v>
      </c>
      <c r="L57" s="18">
        <f t="shared" si="1"/>
        <v>89225</v>
      </c>
    </row>
    <row r="58">
      <c r="A58" s="1" t="s">
        <v>117</v>
      </c>
      <c r="B58" s="2">
        <v>46263.0</v>
      </c>
      <c r="C58" s="1" t="s">
        <v>118</v>
      </c>
      <c r="D58" s="1" t="str">
        <f t="array" ref="D58">_xlfn.XLOOKUP(C58,Master_Pelanggan!A:A,Master_Pelanggan!B:B)</f>
        <v>Ahmad Sari</v>
      </c>
      <c r="E58" s="1" t="str">
        <f t="array" ref="E58">_xlfn.XLOOKUP(C58,Master_Pelanggan!A:A,Master_Pelanggan!D:D)</f>
        <v>Prioritas</v>
      </c>
      <c r="F58" s="1" t="s">
        <v>33</v>
      </c>
      <c r="G58" s="1" t="s">
        <v>150</v>
      </c>
      <c r="H58" s="17">
        <v>1444.0</v>
      </c>
      <c r="I58" s="1" t="s">
        <v>35</v>
      </c>
      <c r="J58" s="1">
        <v>216.0</v>
      </c>
      <c r="K58" s="1" t="s">
        <v>18</v>
      </c>
      <c r="L58" s="18">
        <f t="shared" si="1"/>
        <v>311904</v>
      </c>
    </row>
    <row r="59">
      <c r="A59" s="1" t="s">
        <v>236</v>
      </c>
      <c r="B59" s="2">
        <v>46303.0</v>
      </c>
      <c r="C59" s="1" t="s">
        <v>237</v>
      </c>
      <c r="D59" s="1" t="str">
        <f t="array" ref="D59">_xlfn.XLOOKUP(C59,Master_Pelanggan!A:A,Master_Pelanggan!B:B)</f>
        <v>Nur Syahputra</v>
      </c>
      <c r="E59" s="1" t="str">
        <f t="array" ref="E59">_xlfn.XLOOKUP(C59,Master_Pelanggan!A:A,Master_Pelanggan!D:D)</f>
        <v>Subsidi</v>
      </c>
      <c r="F59" s="1" t="s">
        <v>38</v>
      </c>
      <c r="G59" s="1" t="s">
        <v>210</v>
      </c>
      <c r="H59" s="17">
        <v>966.0</v>
      </c>
      <c r="I59" s="1" t="s">
        <v>19</v>
      </c>
      <c r="J59" s="1">
        <v>217.0</v>
      </c>
      <c r="K59" s="1" t="s">
        <v>46</v>
      </c>
      <c r="L59" s="18">
        <f t="shared" si="1"/>
        <v>209622</v>
      </c>
    </row>
    <row r="60">
      <c r="A60" s="1" t="s">
        <v>186</v>
      </c>
      <c r="B60" s="2">
        <v>46255.0</v>
      </c>
      <c r="C60" s="1" t="s">
        <v>124</v>
      </c>
      <c r="D60" s="1" t="str">
        <f t="array" ref="D60">_xlfn.XLOOKUP(C60,Master_Pelanggan!A:A,Master_Pelanggan!B:B)</f>
        <v>Andi Sinaga</v>
      </c>
      <c r="E60" s="1" t="str">
        <f t="array" ref="E60">_xlfn.XLOOKUP(C60,Master_Pelanggan!A:A,Master_Pelanggan!D:D)</f>
        <v>Prioritas</v>
      </c>
      <c r="F60" s="1" t="s">
        <v>15</v>
      </c>
      <c r="G60" s="1" t="s">
        <v>177</v>
      </c>
      <c r="H60" s="17">
        <v>535.0</v>
      </c>
      <c r="I60" s="1" t="s">
        <v>23</v>
      </c>
      <c r="J60" s="1">
        <v>218.0</v>
      </c>
      <c r="K60" s="1" t="s">
        <v>18</v>
      </c>
      <c r="L60" s="18">
        <f t="shared" si="1"/>
        <v>116630</v>
      </c>
    </row>
    <row r="61">
      <c r="A61" s="1" t="s">
        <v>197</v>
      </c>
      <c r="B61" s="2">
        <v>46150.0</v>
      </c>
      <c r="C61" s="1" t="s">
        <v>198</v>
      </c>
      <c r="D61" s="1" t="str">
        <f t="array" ref="D61">_xlfn.XLOOKUP(C61,Master_Pelanggan!A:A,Master_Pelanggan!B:B)</f>
        <v>Dewi Sari</v>
      </c>
      <c r="E61" s="1" t="str">
        <f t="array" ref="E61">_xlfn.XLOOKUP(C61,Master_Pelanggan!A:A,Master_Pelanggan!D:D)</f>
        <v>Subsidi</v>
      </c>
      <c r="F61" s="1" t="s">
        <v>30</v>
      </c>
      <c r="G61" s="1" t="s">
        <v>266</v>
      </c>
      <c r="H61" s="17">
        <v>415.0</v>
      </c>
      <c r="I61" s="5" t="s">
        <v>227</v>
      </c>
      <c r="J61" s="1">
        <v>218.0</v>
      </c>
      <c r="K61" s="1" t="s">
        <v>18</v>
      </c>
      <c r="L61" s="18">
        <f t="shared" si="1"/>
        <v>90470</v>
      </c>
    </row>
    <row r="62">
      <c r="A62" s="1" t="s">
        <v>56</v>
      </c>
      <c r="B62" s="2">
        <v>46334.0</v>
      </c>
      <c r="C62" s="1" t="s">
        <v>57</v>
      </c>
      <c r="D62" s="1" t="str">
        <f t="array" ref="D62">_xlfn.XLOOKUP(C62,Master_Pelanggan!A:A,Master_Pelanggan!B:B)</f>
        <v>Eko Nugroho</v>
      </c>
      <c r="E62" s="1" t="str">
        <f t="array" ref="E62">_xlfn.XLOOKUP(C62,Master_Pelanggan!A:A,Master_Pelanggan!D:D)</f>
        <v>Reguler</v>
      </c>
      <c r="F62" s="1" t="s">
        <v>30</v>
      </c>
      <c r="G62" s="1" t="s">
        <v>266</v>
      </c>
      <c r="H62" s="17">
        <v>415.0</v>
      </c>
      <c r="I62" s="1" t="s">
        <v>55</v>
      </c>
      <c r="J62" s="1">
        <v>219.0</v>
      </c>
      <c r="K62" s="1" t="s">
        <v>18</v>
      </c>
      <c r="L62" s="18">
        <f t="shared" si="1"/>
        <v>90885</v>
      </c>
    </row>
    <row r="63">
      <c r="A63" s="1" t="s">
        <v>235</v>
      </c>
      <c r="B63" s="2">
        <v>46089.0</v>
      </c>
      <c r="C63" s="1" t="s">
        <v>156</v>
      </c>
      <c r="D63" s="1" t="str">
        <f t="array" ref="D63">_xlfn.XLOOKUP(C63,Master_Pelanggan!A:A,Master_Pelanggan!B:B)</f>
        <v>Siti Sinaga</v>
      </c>
      <c r="E63" s="1" t="str">
        <f t="array" ref="E63">_xlfn.XLOOKUP(C63,Master_Pelanggan!A:A,Master_Pelanggan!D:D)</f>
        <v>Reguler</v>
      </c>
      <c r="F63" s="1" t="s">
        <v>17</v>
      </c>
      <c r="G63" s="1" t="s">
        <v>159</v>
      </c>
      <c r="H63" s="17">
        <v>1352.0</v>
      </c>
      <c r="I63" s="1" t="s">
        <v>23</v>
      </c>
      <c r="J63" s="1">
        <v>220.0</v>
      </c>
      <c r="K63" s="1" t="s">
        <v>18</v>
      </c>
      <c r="L63" s="18">
        <f t="shared" si="1"/>
        <v>297440</v>
      </c>
    </row>
    <row r="64">
      <c r="A64" s="1" t="s">
        <v>132</v>
      </c>
      <c r="B64" s="2">
        <v>46257.0</v>
      </c>
      <c r="C64" s="1" t="s">
        <v>134</v>
      </c>
      <c r="D64" s="1" t="str">
        <f t="array" ref="D64">_xlfn.XLOOKUP(C64,Master_Pelanggan!A:A,Master_Pelanggan!B:B)</f>
        <v>Nur Setiawan</v>
      </c>
      <c r="E64" s="1" t="str">
        <f t="array" ref="E64">_xlfn.XLOOKUP(C64,Master_Pelanggan!A:A,Master_Pelanggan!D:D)</f>
        <v>Reguler</v>
      </c>
      <c r="F64" s="1" t="s">
        <v>51</v>
      </c>
      <c r="G64" s="1" t="s">
        <v>139</v>
      </c>
      <c r="H64" s="17">
        <v>633.0</v>
      </c>
      <c r="I64" s="5" t="s">
        <v>227</v>
      </c>
      <c r="J64" s="1">
        <v>223.0</v>
      </c>
      <c r="K64" s="1" t="s">
        <v>18</v>
      </c>
      <c r="L64" s="18">
        <f t="shared" si="1"/>
        <v>141159</v>
      </c>
    </row>
    <row r="65">
      <c r="A65" s="1" t="s">
        <v>170</v>
      </c>
      <c r="B65" s="2">
        <v>46030.0</v>
      </c>
      <c r="C65" s="5" t="s">
        <v>227</v>
      </c>
      <c r="D65" s="1" t="str">
        <f t="array" ref="D65">_xlfn.XLOOKUP(C65,Master_Pelanggan!A:A,Master_Pelanggan!B:B)</f>
        <v>#N/A</v>
      </c>
      <c r="E65" s="1" t="str">
        <f t="array" ref="E65">_xlfn.XLOOKUP(C65,Master_Pelanggan!A:A,Master_Pelanggan!D:D)</f>
        <v>#N/A</v>
      </c>
      <c r="F65" s="1" t="s">
        <v>33</v>
      </c>
      <c r="G65" s="1" t="s">
        <v>150</v>
      </c>
      <c r="H65" s="17">
        <v>1444.0</v>
      </c>
      <c r="I65" s="1" t="s">
        <v>55</v>
      </c>
      <c r="J65" s="1">
        <v>223.0</v>
      </c>
      <c r="K65" s="1" t="s">
        <v>18</v>
      </c>
      <c r="L65" s="18">
        <f t="shared" si="1"/>
        <v>322012</v>
      </c>
    </row>
    <row r="66">
      <c r="A66" s="1" t="s">
        <v>155</v>
      </c>
      <c r="B66" s="2">
        <v>46255.0</v>
      </c>
      <c r="C66" s="1" t="s">
        <v>156</v>
      </c>
      <c r="D66" s="1" t="str">
        <f t="array" ref="D66">_xlfn.XLOOKUP(C66,Master_Pelanggan!A:A,Master_Pelanggan!B:B)</f>
        <v>Siti Sinaga</v>
      </c>
      <c r="E66" s="1" t="str">
        <f t="array" ref="E66">_xlfn.XLOOKUP(C66,Master_Pelanggan!A:A,Master_Pelanggan!D:D)</f>
        <v>Reguler</v>
      </c>
      <c r="F66" s="1" t="s">
        <v>33</v>
      </c>
      <c r="G66" s="1" t="s">
        <v>150</v>
      </c>
      <c r="H66" s="17">
        <v>1444.0</v>
      </c>
      <c r="I66" s="1" t="s">
        <v>19</v>
      </c>
      <c r="J66" s="1">
        <v>224.0</v>
      </c>
      <c r="K66" s="1" t="s">
        <v>18</v>
      </c>
      <c r="L66" s="18">
        <f t="shared" si="1"/>
        <v>323456</v>
      </c>
    </row>
    <row r="67">
      <c r="A67" s="1" t="s">
        <v>67</v>
      </c>
      <c r="B67" s="2">
        <v>46251.0</v>
      </c>
      <c r="C67" s="1" t="s">
        <v>69</v>
      </c>
      <c r="D67" s="1" t="str">
        <f t="array" ref="D67">_xlfn.XLOOKUP(C67,Master_Pelanggan!A:A,Master_Pelanggan!B:B)</f>
        <v>Ayu Wijaya</v>
      </c>
      <c r="E67" s="1" t="str">
        <f t="array" ref="E67">_xlfn.XLOOKUP(C67,Master_Pelanggan!A:A,Master_Pelanggan!D:D)</f>
        <v>Reguler</v>
      </c>
      <c r="F67" s="1" t="s">
        <v>15</v>
      </c>
      <c r="G67" s="1" t="s">
        <v>177</v>
      </c>
      <c r="H67" s="17">
        <v>535.0</v>
      </c>
      <c r="I67" s="1" t="s">
        <v>55</v>
      </c>
      <c r="J67" s="1">
        <v>225.0</v>
      </c>
      <c r="K67" s="1" t="s">
        <v>18</v>
      </c>
      <c r="L67" s="18">
        <f t="shared" si="1"/>
        <v>120375</v>
      </c>
    </row>
    <row r="68">
      <c r="A68" s="1" t="s">
        <v>146</v>
      </c>
      <c r="B68" s="2">
        <v>46247.0</v>
      </c>
      <c r="C68" s="1" t="s">
        <v>147</v>
      </c>
      <c r="D68" s="1" t="str">
        <f t="array" ref="D68">_xlfn.XLOOKUP(C68,Master_Pelanggan!A:A,Master_Pelanggan!B:B)</f>
        <v>Hendra Syahputra</v>
      </c>
      <c r="E68" s="1" t="str">
        <f t="array" ref="E68">_xlfn.XLOOKUP(C68,Master_Pelanggan!A:A,Master_Pelanggan!D:D)</f>
        <v>Prioritas</v>
      </c>
      <c r="F68" s="1" t="s">
        <v>30</v>
      </c>
      <c r="G68" s="1" t="s">
        <v>266</v>
      </c>
      <c r="H68" s="17">
        <v>415.0</v>
      </c>
      <c r="I68" s="1" t="s">
        <v>23</v>
      </c>
      <c r="J68" s="1">
        <v>225.0</v>
      </c>
      <c r="K68" s="1" t="s">
        <v>46</v>
      </c>
      <c r="L68" s="18">
        <f t="shared" si="1"/>
        <v>93375</v>
      </c>
    </row>
    <row r="69">
      <c r="A69" s="1" t="s">
        <v>252</v>
      </c>
      <c r="B69" s="2">
        <v>46253.0</v>
      </c>
      <c r="C69" s="1" t="s">
        <v>253</v>
      </c>
      <c r="D69" s="1" t="str">
        <f t="array" ref="D69">_xlfn.XLOOKUP(C69,Master_Pelanggan!A:A,Master_Pelanggan!B:B)</f>
        <v>Siti Wahyuni</v>
      </c>
      <c r="E69" s="1" t="str">
        <f t="array" ref="E69">_xlfn.XLOOKUP(C69,Master_Pelanggan!A:A,Master_Pelanggan!D:D)</f>
        <v>Prioritas</v>
      </c>
      <c r="F69" s="1" t="s">
        <v>38</v>
      </c>
      <c r="G69" s="1" t="s">
        <v>210</v>
      </c>
      <c r="H69" s="17">
        <v>966.0</v>
      </c>
      <c r="I69" s="1" t="s">
        <v>35</v>
      </c>
      <c r="J69" s="1">
        <v>225.0</v>
      </c>
      <c r="K69" s="1" t="s">
        <v>46</v>
      </c>
      <c r="L69" s="18">
        <f t="shared" si="1"/>
        <v>217350</v>
      </c>
    </row>
    <row r="70">
      <c r="A70" s="1" t="s">
        <v>162</v>
      </c>
      <c r="B70" s="2">
        <v>46254.0</v>
      </c>
      <c r="C70" s="1" t="s">
        <v>163</v>
      </c>
      <c r="D70" s="1" t="str">
        <f t="array" ref="D70">_xlfn.XLOOKUP(C70,Master_Pelanggan!A:A,Master_Pelanggan!B:B)</f>
        <v>Hadi Gunawan</v>
      </c>
      <c r="E70" s="1" t="str">
        <f t="array" ref="E70">_xlfn.XLOOKUP(C70,Master_Pelanggan!A:A,Master_Pelanggan!D:D)</f>
        <v>Reguler</v>
      </c>
      <c r="F70" s="1" t="s">
        <v>17</v>
      </c>
      <c r="G70" s="1" t="s">
        <v>159</v>
      </c>
      <c r="H70" s="17">
        <v>1352.0</v>
      </c>
      <c r="I70" s="1" t="s">
        <v>55</v>
      </c>
      <c r="J70" s="1">
        <v>226.0</v>
      </c>
      <c r="K70" s="1" t="s">
        <v>18</v>
      </c>
      <c r="L70" s="18">
        <f t="shared" si="1"/>
        <v>305552</v>
      </c>
    </row>
    <row r="71">
      <c r="A71" s="1" t="s">
        <v>173</v>
      </c>
      <c r="B71" s="2">
        <v>46258.0</v>
      </c>
      <c r="C71" s="1" t="s">
        <v>174</v>
      </c>
      <c r="D71" s="1" t="str">
        <f t="array" ref="D71">_xlfn.XLOOKUP(C71,Master_Pelanggan!A:A,Master_Pelanggan!B:B)</f>
        <v>Rizky Wahyuni</v>
      </c>
      <c r="E71" s="1" t="str">
        <f t="array" ref="E71">_xlfn.XLOOKUP(C71,Master_Pelanggan!A:A,Master_Pelanggan!D:D)</f>
        <v>Reguler</v>
      </c>
      <c r="F71" s="1" t="s">
        <v>51</v>
      </c>
      <c r="G71" s="1" t="s">
        <v>139</v>
      </c>
      <c r="H71" s="17">
        <v>633.0</v>
      </c>
      <c r="I71" s="1" t="s">
        <v>19</v>
      </c>
      <c r="J71" s="1">
        <v>226.0</v>
      </c>
      <c r="K71" s="1" t="s">
        <v>18</v>
      </c>
      <c r="L71" s="18">
        <f t="shared" si="1"/>
        <v>143058</v>
      </c>
    </row>
    <row r="72">
      <c r="A72" s="1" t="s">
        <v>206</v>
      </c>
      <c r="B72" s="2">
        <v>46255.0</v>
      </c>
      <c r="C72" s="1" t="s">
        <v>207</v>
      </c>
      <c r="D72" s="1" t="str">
        <f t="array" ref="D72">_xlfn.XLOOKUP(C72,Master_Pelanggan!A:A,Master_Pelanggan!B:B)</f>
        <v>Hendra Astuti</v>
      </c>
      <c r="E72" s="1" t="str">
        <f t="array" ref="E72">_xlfn.XLOOKUP(C72,Master_Pelanggan!A:A,Master_Pelanggan!D:D)</f>
        <v>Reguler</v>
      </c>
      <c r="F72" s="1" t="s">
        <v>33</v>
      </c>
      <c r="G72" s="1" t="s">
        <v>150</v>
      </c>
      <c r="H72" s="17">
        <v>1444.0</v>
      </c>
      <c r="I72" s="1" t="s">
        <v>23</v>
      </c>
      <c r="J72" s="1">
        <v>226.0</v>
      </c>
      <c r="K72" s="1" t="s">
        <v>18</v>
      </c>
      <c r="L72" s="18">
        <f t="shared" si="1"/>
        <v>326344</v>
      </c>
    </row>
    <row r="73">
      <c r="A73" s="1" t="s">
        <v>148</v>
      </c>
      <c r="B73" s="2">
        <v>46258.0</v>
      </c>
      <c r="C73" s="1" t="s">
        <v>149</v>
      </c>
      <c r="D73" s="1" t="str">
        <f t="array" ref="D73">_xlfn.XLOOKUP(C73,Master_Pelanggan!A:A,Master_Pelanggan!B:B)</f>
        <v>Eko Nugroho</v>
      </c>
      <c r="E73" s="1" t="str">
        <f t="array" ref="E73">_xlfn.XLOOKUP(C73,Master_Pelanggan!A:A,Master_Pelanggan!D:D)</f>
        <v>Prioritas</v>
      </c>
      <c r="F73" s="1" t="s">
        <v>30</v>
      </c>
      <c r="G73" s="1" t="s">
        <v>266</v>
      </c>
      <c r="H73" s="17">
        <v>415.0</v>
      </c>
      <c r="I73" s="1" t="s">
        <v>23</v>
      </c>
      <c r="J73" s="1">
        <v>228.0</v>
      </c>
      <c r="K73" s="1" t="s">
        <v>18</v>
      </c>
      <c r="L73" s="18">
        <f t="shared" si="1"/>
        <v>94620</v>
      </c>
    </row>
    <row r="74">
      <c r="A74" s="1" t="s">
        <v>211</v>
      </c>
      <c r="B74" s="2">
        <v>46250.0</v>
      </c>
      <c r="C74" s="1" t="s">
        <v>212</v>
      </c>
      <c r="D74" s="1" t="str">
        <f t="array" ref="D74">_xlfn.XLOOKUP(C74,Master_Pelanggan!A:A,Master_Pelanggan!B:B)</f>
        <v>Tri Wibowo</v>
      </c>
      <c r="E74" s="1" t="str">
        <f t="array" ref="E74">_xlfn.XLOOKUP(C74,Master_Pelanggan!A:A,Master_Pelanggan!D:D)</f>
        <v>Reguler</v>
      </c>
      <c r="F74" s="1" t="s">
        <v>33</v>
      </c>
      <c r="G74" s="1" t="s">
        <v>150</v>
      </c>
      <c r="H74" s="17">
        <v>1444.0</v>
      </c>
      <c r="I74" s="5" t="s">
        <v>227</v>
      </c>
      <c r="J74" s="1">
        <v>228.0</v>
      </c>
      <c r="K74" s="1" t="s">
        <v>18</v>
      </c>
      <c r="L74" s="18">
        <f t="shared" si="1"/>
        <v>329232</v>
      </c>
    </row>
    <row r="75">
      <c r="A75" s="1" t="s">
        <v>219</v>
      </c>
      <c r="B75" s="2">
        <v>46150.0</v>
      </c>
      <c r="C75" s="1" t="s">
        <v>220</v>
      </c>
      <c r="D75" s="1" t="str">
        <f t="array" ref="D75">_xlfn.XLOOKUP(C75,Master_Pelanggan!A:A,Master_Pelanggan!B:B)</f>
        <v>Muhammad Kurniawan</v>
      </c>
      <c r="E75" s="1" t="str">
        <f t="array" ref="E75">_xlfn.XLOOKUP(C75,Master_Pelanggan!A:A,Master_Pelanggan!D:D)</f>
        <v>Subsidi</v>
      </c>
      <c r="F75" s="1" t="s">
        <v>33</v>
      </c>
      <c r="G75" s="1" t="s">
        <v>150</v>
      </c>
      <c r="H75" s="17">
        <v>1444.0</v>
      </c>
      <c r="I75" s="1" t="s">
        <v>19</v>
      </c>
      <c r="J75" s="1">
        <v>228.0</v>
      </c>
      <c r="K75" s="1" t="s">
        <v>18</v>
      </c>
      <c r="L75" s="18">
        <f t="shared" si="1"/>
        <v>329232</v>
      </c>
    </row>
    <row r="76">
      <c r="A76" s="1" t="s">
        <v>93</v>
      </c>
      <c r="B76" s="2">
        <v>46263.0</v>
      </c>
      <c r="C76" s="1" t="s">
        <v>94</v>
      </c>
      <c r="D76" s="1" t="str">
        <f t="array" ref="D76">_xlfn.XLOOKUP(C76,Master_Pelanggan!A:A,Master_Pelanggan!B:B)</f>
        <v>Rudi Saputra</v>
      </c>
      <c r="E76" s="1" t="str">
        <f t="array" ref="E76">_xlfn.XLOOKUP(C76,Master_Pelanggan!A:A,Master_Pelanggan!D:D)</f>
        <v>Subsidi</v>
      </c>
      <c r="F76" s="1" t="s">
        <v>17</v>
      </c>
      <c r="G76" s="1" t="s">
        <v>159</v>
      </c>
      <c r="H76" s="17">
        <v>1352.0</v>
      </c>
      <c r="I76" s="1" t="s">
        <v>55</v>
      </c>
      <c r="J76" s="1">
        <v>230.0</v>
      </c>
      <c r="K76" s="1" t="s">
        <v>18</v>
      </c>
      <c r="L76" s="18">
        <f t="shared" si="1"/>
        <v>310960</v>
      </c>
    </row>
    <row r="77">
      <c r="A77" s="1" t="s">
        <v>151</v>
      </c>
      <c r="B77" s="2">
        <v>46250.0</v>
      </c>
      <c r="C77" s="1" t="s">
        <v>152</v>
      </c>
      <c r="D77" s="1" t="str">
        <f t="array" ref="D77">_xlfn.XLOOKUP(C77,Master_Pelanggan!A:A,Master_Pelanggan!B:B)</f>
        <v>Siti Gunawan</v>
      </c>
      <c r="E77" s="1" t="str">
        <f t="array" ref="E77">_xlfn.XLOOKUP(C77,Master_Pelanggan!A:A,Master_Pelanggan!D:D)</f>
        <v>Reguler</v>
      </c>
      <c r="F77" s="1" t="s">
        <v>38</v>
      </c>
      <c r="G77" s="1" t="s">
        <v>210</v>
      </c>
      <c r="H77" s="17">
        <v>966.0</v>
      </c>
      <c r="I77" s="1" t="s">
        <v>55</v>
      </c>
      <c r="J77" s="1">
        <v>230.0</v>
      </c>
      <c r="K77" s="1" t="s">
        <v>18</v>
      </c>
      <c r="L77" s="18">
        <f t="shared" si="1"/>
        <v>222180</v>
      </c>
    </row>
    <row r="78">
      <c r="A78" s="1" t="s">
        <v>153</v>
      </c>
      <c r="B78" s="2">
        <v>46273.0</v>
      </c>
      <c r="C78" s="1" t="s">
        <v>154</v>
      </c>
      <c r="D78" s="1" t="str">
        <f t="array" ref="D78">_xlfn.XLOOKUP(C78,Master_Pelanggan!A:A,Master_Pelanggan!B:B)</f>
        <v>Siti Gunawan</v>
      </c>
      <c r="E78" s="1" t="str">
        <f t="array" ref="E78">_xlfn.XLOOKUP(C78,Master_Pelanggan!A:A,Master_Pelanggan!D:D)</f>
        <v>Subsidi</v>
      </c>
      <c r="F78" s="1" t="s">
        <v>51</v>
      </c>
      <c r="G78" s="1" t="s">
        <v>139</v>
      </c>
      <c r="H78" s="17">
        <v>633.0</v>
      </c>
      <c r="I78" s="1" t="s">
        <v>23</v>
      </c>
      <c r="J78" s="1">
        <v>232.0</v>
      </c>
      <c r="K78" s="1" t="s">
        <v>18</v>
      </c>
      <c r="L78" s="18">
        <f t="shared" si="1"/>
        <v>146856</v>
      </c>
    </row>
    <row r="79">
      <c r="A79" s="1" t="s">
        <v>178</v>
      </c>
      <c r="B79" s="2">
        <v>46273.0</v>
      </c>
      <c r="C79" s="1" t="s">
        <v>179</v>
      </c>
      <c r="D79" s="1" t="str">
        <f t="array" ref="D79">_xlfn.XLOOKUP(C79,Master_Pelanggan!A:A,Master_Pelanggan!B:B)</f>
        <v>Iwan Setiawan</v>
      </c>
      <c r="E79" s="1" t="str">
        <f t="array" ref="E79">_xlfn.XLOOKUP(C79,Master_Pelanggan!A:A,Master_Pelanggan!D:D)</f>
        <v>Reguler</v>
      </c>
      <c r="F79" s="1" t="s">
        <v>30</v>
      </c>
      <c r="G79" s="1" t="s">
        <v>266</v>
      </c>
      <c r="H79" s="17">
        <v>415.0</v>
      </c>
      <c r="I79" s="1" t="s">
        <v>23</v>
      </c>
      <c r="J79" s="1">
        <v>233.0</v>
      </c>
      <c r="K79" s="1" t="s">
        <v>46</v>
      </c>
      <c r="L79" s="18">
        <f t="shared" si="1"/>
        <v>96695</v>
      </c>
    </row>
    <row r="80">
      <c r="A80" s="1" t="s">
        <v>201</v>
      </c>
      <c r="B80" s="2">
        <v>46252.0</v>
      </c>
      <c r="C80" s="1" t="s">
        <v>202</v>
      </c>
      <c r="D80" s="1" t="str">
        <f t="array" ref="D80">_xlfn.XLOOKUP(C80,Master_Pelanggan!A:A,Master_Pelanggan!B:B)</f>
        <v>Sri Santoso</v>
      </c>
      <c r="E80" s="1" t="str">
        <f t="array" ref="E80">_xlfn.XLOOKUP(C80,Master_Pelanggan!A:A,Master_Pelanggan!D:D)</f>
        <v>Reguler</v>
      </c>
      <c r="F80" s="1" t="s">
        <v>33</v>
      </c>
      <c r="G80" s="1" t="s">
        <v>150</v>
      </c>
      <c r="H80" s="17">
        <v>1444.0</v>
      </c>
      <c r="I80" s="1" t="s">
        <v>35</v>
      </c>
      <c r="J80" s="1">
        <v>233.0</v>
      </c>
      <c r="K80" s="1" t="s">
        <v>18</v>
      </c>
      <c r="L80" s="18">
        <f t="shared" si="1"/>
        <v>336452</v>
      </c>
    </row>
    <row r="81">
      <c r="A81" s="1" t="s">
        <v>240</v>
      </c>
      <c r="B81" s="2">
        <v>46252.0</v>
      </c>
      <c r="C81" s="1" t="s">
        <v>241</v>
      </c>
      <c r="D81" s="1" t="str">
        <f t="array" ref="D81">_xlfn.XLOOKUP(C81,Master_Pelanggan!A:A,Master_Pelanggan!B:B)</f>
        <v>Hendra Kurniawan</v>
      </c>
      <c r="E81" s="1" t="str">
        <f t="array" ref="E81">_xlfn.XLOOKUP(C81,Master_Pelanggan!A:A,Master_Pelanggan!D:D)</f>
        <v>Prioritas</v>
      </c>
      <c r="F81" s="1" t="s">
        <v>17</v>
      </c>
      <c r="G81" s="1" t="s">
        <v>159</v>
      </c>
      <c r="H81" s="17">
        <v>1352.0</v>
      </c>
      <c r="I81" s="1" t="s">
        <v>35</v>
      </c>
      <c r="J81" s="1">
        <v>233.0</v>
      </c>
      <c r="K81" s="1" t="s">
        <v>18</v>
      </c>
      <c r="L81" s="18">
        <f t="shared" si="1"/>
        <v>315016</v>
      </c>
    </row>
    <row r="82">
      <c r="A82" s="1" t="s">
        <v>265</v>
      </c>
      <c r="B82" s="2">
        <v>46256.0</v>
      </c>
      <c r="C82" s="1" t="s">
        <v>214</v>
      </c>
      <c r="D82" s="1" t="str">
        <f t="array" ref="D82">_xlfn.XLOOKUP(C82,Master_Pelanggan!A:A,Master_Pelanggan!B:B)</f>
        <v>Yuni Sari</v>
      </c>
      <c r="E82" s="1" t="str">
        <f t="array" ref="E82">_xlfn.XLOOKUP(C82,Master_Pelanggan!A:A,Master_Pelanggan!D:D)</f>
        <v>Prioritas</v>
      </c>
      <c r="F82" s="1" t="s">
        <v>30</v>
      </c>
      <c r="G82" s="1" t="s">
        <v>266</v>
      </c>
      <c r="H82" s="17">
        <v>415.0</v>
      </c>
      <c r="I82" s="1" t="s">
        <v>27</v>
      </c>
      <c r="J82" s="1">
        <v>233.0</v>
      </c>
      <c r="K82" s="1" t="s">
        <v>18</v>
      </c>
      <c r="L82" s="18">
        <f t="shared" si="1"/>
        <v>96695</v>
      </c>
    </row>
    <row r="83">
      <c r="A83" s="1" t="s">
        <v>136</v>
      </c>
      <c r="B83" s="2">
        <v>46249.0</v>
      </c>
      <c r="C83" s="1" t="s">
        <v>137</v>
      </c>
      <c r="D83" s="1" t="str">
        <f t="array" ref="D83">_xlfn.XLOOKUP(C83,Master_Pelanggan!A:A,Master_Pelanggan!B:B)</f>
        <v>Ayu Hidayat</v>
      </c>
      <c r="E83" s="1" t="str">
        <f t="array" ref="E83">_xlfn.XLOOKUP(C83,Master_Pelanggan!A:A,Master_Pelanggan!D:D)</f>
        <v>Prioritas</v>
      </c>
      <c r="F83" s="1" t="s">
        <v>51</v>
      </c>
      <c r="G83" s="1" t="s">
        <v>139</v>
      </c>
      <c r="H83" s="17">
        <v>633.0</v>
      </c>
      <c r="I83" s="1" t="s">
        <v>23</v>
      </c>
      <c r="J83" s="1">
        <v>236.0</v>
      </c>
      <c r="K83" s="1" t="s">
        <v>18</v>
      </c>
      <c r="L83" s="18">
        <f t="shared" si="1"/>
        <v>149388</v>
      </c>
    </row>
    <row r="84">
      <c r="A84" s="1" t="s">
        <v>223</v>
      </c>
      <c r="B84" s="2">
        <v>46089.0</v>
      </c>
      <c r="C84" s="1" t="s">
        <v>224</v>
      </c>
      <c r="D84" s="1" t="str">
        <f t="array" ref="D84">_xlfn.XLOOKUP(C84,Master_Pelanggan!A:A,Master_Pelanggan!B:B)</f>
        <v>Fitri Hidayat</v>
      </c>
      <c r="E84" s="1" t="str">
        <f t="array" ref="E84">_xlfn.XLOOKUP(C84,Master_Pelanggan!A:A,Master_Pelanggan!D:D)</f>
        <v>Reguler</v>
      </c>
      <c r="F84" s="1" t="s">
        <v>17</v>
      </c>
      <c r="G84" s="1" t="s">
        <v>159</v>
      </c>
      <c r="H84" s="17">
        <v>1352.0</v>
      </c>
      <c r="I84" s="1" t="s">
        <v>27</v>
      </c>
      <c r="J84" s="1">
        <v>236.0</v>
      </c>
      <c r="K84" s="1" t="s">
        <v>46</v>
      </c>
      <c r="L84" s="18">
        <f t="shared" si="1"/>
        <v>319072</v>
      </c>
    </row>
    <row r="85">
      <c r="A85" s="1" t="s">
        <v>257</v>
      </c>
      <c r="B85" s="2">
        <v>46258.0</v>
      </c>
      <c r="C85" s="1" t="s">
        <v>258</v>
      </c>
      <c r="D85" s="1" t="str">
        <f t="array" ref="D85">_xlfn.XLOOKUP(C85,Master_Pelanggan!A:A,Master_Pelanggan!B:B)</f>
        <v>Ayu Lestari</v>
      </c>
      <c r="E85" s="1" t="str">
        <f t="array" ref="E85">_xlfn.XLOOKUP(C85,Master_Pelanggan!A:A,Master_Pelanggan!D:D)</f>
        <v>Prioritas</v>
      </c>
      <c r="F85" s="1" t="s">
        <v>51</v>
      </c>
      <c r="G85" s="1" t="s">
        <v>139</v>
      </c>
      <c r="H85" s="17">
        <v>633.0</v>
      </c>
      <c r="I85" s="1" t="s">
        <v>23</v>
      </c>
      <c r="J85" s="1">
        <v>238.0</v>
      </c>
      <c r="K85" s="1" t="s">
        <v>18</v>
      </c>
      <c r="L85" s="18">
        <f t="shared" si="1"/>
        <v>150654</v>
      </c>
    </row>
    <row r="86">
      <c r="A86" s="1" t="s">
        <v>11</v>
      </c>
      <c r="B86" s="2">
        <v>46255.0</v>
      </c>
      <c r="C86" s="1" t="s">
        <v>14</v>
      </c>
      <c r="D86" s="1" t="str">
        <f t="array" ref="D86">_xlfn.XLOOKUP(C86,Master_Pelanggan!A:A,Master_Pelanggan!B:B)</f>
        <v>Ahmad Setiawan</v>
      </c>
      <c r="E86" s="1" t="str">
        <f t="array" ref="E86">_xlfn.XLOOKUP(C86,Master_Pelanggan!A:A,Master_Pelanggan!D:D)</f>
        <v>Reguler</v>
      </c>
      <c r="F86" s="1" t="s">
        <v>15</v>
      </c>
      <c r="G86" s="1" t="s">
        <v>177</v>
      </c>
      <c r="H86" s="17">
        <v>535.0</v>
      </c>
      <c r="I86" s="5" t="s">
        <v>227</v>
      </c>
      <c r="J86" s="1">
        <v>239.0</v>
      </c>
      <c r="K86" s="1" t="s">
        <v>18</v>
      </c>
      <c r="L86" s="18">
        <f t="shared" si="1"/>
        <v>127865</v>
      </c>
    </row>
    <row r="87">
      <c r="A87" s="1" t="s">
        <v>254</v>
      </c>
      <c r="B87" s="2">
        <v>46258.0</v>
      </c>
      <c r="C87" s="1" t="s">
        <v>256</v>
      </c>
      <c r="D87" s="1" t="str">
        <f t="array" ref="D87">_xlfn.XLOOKUP(C87,Master_Pelanggan!A:A,Master_Pelanggan!B:B)</f>
        <v>Ayu Pratama</v>
      </c>
      <c r="E87" s="1" t="str">
        <f t="array" ref="E87">_xlfn.XLOOKUP(C87,Master_Pelanggan!A:A,Master_Pelanggan!D:D)</f>
        <v>Reguler</v>
      </c>
      <c r="F87" s="1" t="s">
        <v>30</v>
      </c>
      <c r="G87" s="1" t="s">
        <v>266</v>
      </c>
      <c r="H87" s="17">
        <v>415.0</v>
      </c>
      <c r="I87" s="1" t="s">
        <v>19</v>
      </c>
      <c r="J87" s="1">
        <v>240.0</v>
      </c>
      <c r="K87" s="1" t="s">
        <v>18</v>
      </c>
      <c r="L87" s="18">
        <f t="shared" si="1"/>
        <v>99600</v>
      </c>
    </row>
    <row r="88">
      <c r="A88" s="1" t="s">
        <v>44</v>
      </c>
      <c r="B88" s="2">
        <v>46257.0</v>
      </c>
      <c r="C88" s="1" t="s">
        <v>45</v>
      </c>
      <c r="D88" s="1" t="str">
        <f t="array" ref="D88">_xlfn.XLOOKUP(C88,Master_Pelanggan!A:A,Master_Pelanggan!B:B)</f>
        <v>Lia Setiawan</v>
      </c>
      <c r="E88" s="1" t="str">
        <f t="array" ref="E88">_xlfn.XLOOKUP(C88,Master_Pelanggan!A:A,Master_Pelanggan!D:D)</f>
        <v>Subsidi</v>
      </c>
      <c r="F88" s="1" t="s">
        <v>33</v>
      </c>
      <c r="G88" s="1" t="s">
        <v>150</v>
      </c>
      <c r="H88" s="17">
        <v>1444.0</v>
      </c>
      <c r="I88" s="1" t="s">
        <v>27</v>
      </c>
      <c r="J88" s="1">
        <v>243.0</v>
      </c>
      <c r="K88" s="1" t="s">
        <v>46</v>
      </c>
      <c r="L88" s="18">
        <f t="shared" si="1"/>
        <v>350892</v>
      </c>
    </row>
    <row r="89">
      <c r="A89" s="1" t="s">
        <v>263</v>
      </c>
      <c r="B89" s="2">
        <v>46242.0</v>
      </c>
      <c r="C89" s="1" t="s">
        <v>264</v>
      </c>
      <c r="D89" s="1" t="str">
        <f t="array" ref="D89">_xlfn.XLOOKUP(C89,Master_Pelanggan!A:A,Master_Pelanggan!B:B)</f>
        <v>Nur Sinaga</v>
      </c>
      <c r="E89" s="1" t="str">
        <f t="array" ref="E89">_xlfn.XLOOKUP(C89,Master_Pelanggan!A:A,Master_Pelanggan!D:D)</f>
        <v>Prioritas</v>
      </c>
      <c r="F89" s="1" t="s">
        <v>38</v>
      </c>
      <c r="G89" s="1" t="s">
        <v>210</v>
      </c>
      <c r="H89" s="17">
        <v>966.0</v>
      </c>
      <c r="I89" s="5" t="s">
        <v>227</v>
      </c>
      <c r="J89" s="1">
        <v>245.0</v>
      </c>
      <c r="K89" s="1" t="s">
        <v>46</v>
      </c>
      <c r="L89" s="18">
        <f t="shared" si="1"/>
        <v>236670</v>
      </c>
    </row>
    <row r="90">
      <c r="A90" s="1" t="s">
        <v>189</v>
      </c>
      <c r="B90" s="2">
        <v>46364.0</v>
      </c>
      <c r="C90" s="1" t="s">
        <v>190</v>
      </c>
      <c r="D90" s="1" t="str">
        <f t="array" ref="D90">_xlfn.XLOOKUP(C90,Master_Pelanggan!A:A,Master_Pelanggan!B:B)</f>
        <v>Lia Kurniawan</v>
      </c>
      <c r="E90" s="1" t="str">
        <f t="array" ref="E90">_xlfn.XLOOKUP(C90,Master_Pelanggan!A:A,Master_Pelanggan!D:D)</f>
        <v>Reguler</v>
      </c>
      <c r="F90" s="1" t="s">
        <v>33</v>
      </c>
      <c r="G90" s="1" t="s">
        <v>150</v>
      </c>
      <c r="H90" s="17">
        <v>1444.0</v>
      </c>
      <c r="I90" s="1" t="s">
        <v>27</v>
      </c>
      <c r="J90" s="1">
        <v>246.0</v>
      </c>
      <c r="K90" s="1" t="s">
        <v>18</v>
      </c>
      <c r="L90" s="18">
        <f t="shared" si="1"/>
        <v>355224</v>
      </c>
    </row>
    <row r="91">
      <c r="A91" s="1" t="s">
        <v>13</v>
      </c>
      <c r="B91" s="2">
        <v>46089.0</v>
      </c>
      <c r="C91" s="1" t="s">
        <v>16</v>
      </c>
      <c r="D91" s="1" t="str">
        <f t="array" ref="D91">_xlfn.XLOOKUP(C91,Master_Pelanggan!A:A,Master_Pelanggan!B:B)</f>
        <v>Sri Gunawan</v>
      </c>
      <c r="E91" s="1" t="str">
        <f t="array" ref="E91">_xlfn.XLOOKUP(C91,Master_Pelanggan!A:A,Master_Pelanggan!D:D)</f>
        <v>Reguler</v>
      </c>
      <c r="F91" s="1" t="s">
        <v>17</v>
      </c>
      <c r="G91" s="1" t="s">
        <v>159</v>
      </c>
      <c r="H91" s="17">
        <v>1352.0</v>
      </c>
      <c r="I91" s="1" t="s">
        <v>19</v>
      </c>
      <c r="J91" s="5">
        <v>248.0</v>
      </c>
      <c r="K91" s="1" t="s">
        <v>18</v>
      </c>
      <c r="L91" s="18">
        <f t="shared" si="1"/>
        <v>335296</v>
      </c>
    </row>
    <row r="92">
      <c r="A92" s="1" t="s">
        <v>24</v>
      </c>
      <c r="B92" s="2">
        <v>46030.0</v>
      </c>
      <c r="C92" s="1" t="s">
        <v>26</v>
      </c>
      <c r="D92" s="1" t="str">
        <f t="array" ref="D92">_xlfn.XLOOKUP(C92,Master_Pelanggan!A:A,Master_Pelanggan!B:B)</f>
        <v>Siti Saputra</v>
      </c>
      <c r="E92" s="1" t="str">
        <f t="array" ref="E92">_xlfn.XLOOKUP(C92,Master_Pelanggan!A:A,Master_Pelanggan!D:D)</f>
        <v>Reguler</v>
      </c>
      <c r="F92" s="1" t="s">
        <v>17</v>
      </c>
      <c r="G92" s="1" t="s">
        <v>159</v>
      </c>
      <c r="H92" s="17">
        <v>1352.0</v>
      </c>
      <c r="I92" s="1" t="s">
        <v>27</v>
      </c>
      <c r="J92" s="1">
        <v>251.0</v>
      </c>
      <c r="K92" s="1" t="s">
        <v>18</v>
      </c>
      <c r="L92" s="18">
        <f t="shared" si="1"/>
        <v>339352</v>
      </c>
    </row>
    <row r="93">
      <c r="A93" s="1" t="s">
        <v>259</v>
      </c>
      <c r="B93" s="2">
        <v>46303.0</v>
      </c>
      <c r="C93" s="1" t="s">
        <v>145</v>
      </c>
      <c r="D93" s="1" t="str">
        <f t="array" ref="D93">_xlfn.XLOOKUP(C93,Master_Pelanggan!A:A,Master_Pelanggan!B:B)</f>
        <v>Andi Wahyuni</v>
      </c>
      <c r="E93" s="1" t="str">
        <f t="array" ref="E93">_xlfn.XLOOKUP(C93,Master_Pelanggan!A:A,Master_Pelanggan!D:D)</f>
        <v>Prioritas</v>
      </c>
      <c r="F93" s="1" t="s">
        <v>38</v>
      </c>
      <c r="G93" s="1" t="s">
        <v>210</v>
      </c>
      <c r="H93" s="17">
        <v>966.0</v>
      </c>
      <c r="I93" s="1" t="s">
        <v>23</v>
      </c>
      <c r="J93" s="1">
        <v>251.0</v>
      </c>
      <c r="K93" s="1" t="s">
        <v>46</v>
      </c>
      <c r="L93" s="18">
        <f t="shared" si="1"/>
        <v>242466</v>
      </c>
    </row>
    <row r="94">
      <c r="A94" s="1" t="s">
        <v>123</v>
      </c>
      <c r="B94" s="2">
        <v>46254.0</v>
      </c>
      <c r="C94" s="1" t="s">
        <v>124</v>
      </c>
      <c r="D94" s="1" t="str">
        <f t="array" ref="D94">_xlfn.XLOOKUP(C94,Master_Pelanggan!A:A,Master_Pelanggan!B:B)</f>
        <v>Andi Sinaga</v>
      </c>
      <c r="E94" s="1" t="str">
        <f t="array" ref="E94">_xlfn.XLOOKUP(C94,Master_Pelanggan!A:A,Master_Pelanggan!D:D)</f>
        <v>Prioritas</v>
      </c>
      <c r="F94" s="1" t="s">
        <v>38</v>
      </c>
      <c r="G94" s="1" t="s">
        <v>210</v>
      </c>
      <c r="H94" s="17">
        <v>966.0</v>
      </c>
      <c r="I94" s="1" t="s">
        <v>27</v>
      </c>
      <c r="J94" s="1">
        <v>258.0</v>
      </c>
      <c r="K94" s="1" t="s">
        <v>18</v>
      </c>
      <c r="L94" s="18">
        <f t="shared" si="1"/>
        <v>249228</v>
      </c>
    </row>
    <row r="95">
      <c r="A95" s="1" t="s">
        <v>255</v>
      </c>
      <c r="B95" s="2">
        <v>46265.0</v>
      </c>
      <c r="C95" s="1" t="s">
        <v>243</v>
      </c>
      <c r="D95" s="1" t="str">
        <f t="array" ref="D95">_xlfn.XLOOKUP(C95,Master_Pelanggan!A:A,Master_Pelanggan!B:B)</f>
        <v>Rudi Hidayat</v>
      </c>
      <c r="E95" s="1" t="str">
        <f t="array" ref="E95">_xlfn.XLOOKUP(C95,Master_Pelanggan!A:A,Master_Pelanggan!D:D)</f>
        <v>Reguler</v>
      </c>
      <c r="F95" s="1" t="s">
        <v>38</v>
      </c>
      <c r="G95" s="1" t="s">
        <v>210</v>
      </c>
      <c r="H95" s="17">
        <v>966.0</v>
      </c>
      <c r="I95" s="1" t="s">
        <v>19</v>
      </c>
      <c r="J95" s="1">
        <v>259.0</v>
      </c>
      <c r="K95" s="1" t="s">
        <v>18</v>
      </c>
      <c r="L95" s="18">
        <f t="shared" si="1"/>
        <v>250194</v>
      </c>
    </row>
    <row r="96">
      <c r="A96" s="1" t="s">
        <v>41</v>
      </c>
      <c r="B96" s="2">
        <v>46150.0</v>
      </c>
      <c r="C96" s="1" t="s">
        <v>42</v>
      </c>
      <c r="D96" s="1" t="str">
        <f t="array" ref="D96">_xlfn.XLOOKUP(C96,Master_Pelanggan!A:A,Master_Pelanggan!B:B)</f>
        <v>Rina Sari</v>
      </c>
      <c r="E96" s="1" t="str">
        <f t="array" ref="E96">_xlfn.XLOOKUP(C96,Master_Pelanggan!A:A,Master_Pelanggan!D:D)</f>
        <v>Reguler</v>
      </c>
      <c r="F96" s="1" t="s">
        <v>33</v>
      </c>
      <c r="G96" s="1" t="s">
        <v>150</v>
      </c>
      <c r="H96" s="17">
        <v>1444.0</v>
      </c>
      <c r="I96" s="1" t="s">
        <v>35</v>
      </c>
      <c r="J96" s="1">
        <v>261.0</v>
      </c>
      <c r="K96" s="1" t="s">
        <v>18</v>
      </c>
      <c r="L96" s="18">
        <f t="shared" si="1"/>
        <v>376884</v>
      </c>
    </row>
    <row r="97">
      <c r="A97" s="1" t="s">
        <v>229</v>
      </c>
      <c r="B97" s="2">
        <v>46364.0</v>
      </c>
      <c r="C97" s="1" t="s">
        <v>230</v>
      </c>
      <c r="D97" s="1" t="str">
        <f t="array" ref="D97">_xlfn.XLOOKUP(C97,Master_Pelanggan!A:A,Master_Pelanggan!B:B)</f>
        <v>Muhammad Rahayu</v>
      </c>
      <c r="E97" s="1" t="str">
        <f t="array" ref="E97">_xlfn.XLOOKUP(C97,Master_Pelanggan!A:A,Master_Pelanggan!D:D)</f>
        <v>Reguler</v>
      </c>
      <c r="F97" s="1" t="s">
        <v>17</v>
      </c>
      <c r="G97" s="1" t="s">
        <v>159</v>
      </c>
      <c r="H97" s="17">
        <v>1352.0</v>
      </c>
      <c r="I97" s="5" t="s">
        <v>227</v>
      </c>
      <c r="J97" s="1">
        <v>261.0</v>
      </c>
      <c r="K97" s="1" t="s">
        <v>18</v>
      </c>
      <c r="L97" s="18">
        <f t="shared" si="1"/>
        <v>352872</v>
      </c>
    </row>
    <row r="98">
      <c r="A98" s="1" t="s">
        <v>113</v>
      </c>
      <c r="B98" s="2">
        <v>46030.0</v>
      </c>
      <c r="C98" s="1" t="s">
        <v>114</v>
      </c>
      <c r="D98" s="1" t="str">
        <f t="array" ref="D98">_xlfn.XLOOKUP(C98,Master_Pelanggan!A:A,Master_Pelanggan!B:B)</f>
        <v>Sri Nugroho</v>
      </c>
      <c r="E98" s="1" t="str">
        <f t="array" ref="E98">_xlfn.XLOOKUP(C98,Master_Pelanggan!A:A,Master_Pelanggan!D:D)</f>
        <v>Reguler</v>
      </c>
      <c r="F98" s="1" t="s">
        <v>17</v>
      </c>
      <c r="G98" s="1" t="s">
        <v>159</v>
      </c>
      <c r="H98" s="17">
        <v>1352.0</v>
      </c>
      <c r="I98" s="1" t="s">
        <v>23</v>
      </c>
      <c r="J98" s="1">
        <v>265.0</v>
      </c>
      <c r="K98" s="1" t="s">
        <v>46</v>
      </c>
      <c r="L98" s="18">
        <f t="shared" si="1"/>
        <v>358280</v>
      </c>
    </row>
    <row r="99">
      <c r="A99" s="1" t="s">
        <v>157</v>
      </c>
      <c r="B99" s="2">
        <v>46255.0</v>
      </c>
      <c r="C99" s="1" t="s">
        <v>158</v>
      </c>
      <c r="D99" s="1" t="str">
        <f t="array" ref="D99">_xlfn.XLOOKUP(C99,Master_Pelanggan!A:A,Master_Pelanggan!B:B)</f>
        <v>Andi Wahyuni</v>
      </c>
      <c r="E99" s="1" t="str">
        <f t="array" ref="E99">_xlfn.XLOOKUP(C99,Master_Pelanggan!A:A,Master_Pelanggan!D:D)</f>
        <v>Subsidi</v>
      </c>
      <c r="F99" s="1" t="s">
        <v>30</v>
      </c>
      <c r="G99" s="1" t="s">
        <v>266</v>
      </c>
      <c r="H99" s="17">
        <v>415.0</v>
      </c>
      <c r="I99" s="1" t="s">
        <v>27</v>
      </c>
      <c r="J99" s="1">
        <v>267.0</v>
      </c>
      <c r="K99" s="1" t="s">
        <v>46</v>
      </c>
      <c r="L99" s="18">
        <f t="shared" si="1"/>
        <v>110805</v>
      </c>
    </row>
    <row r="100">
      <c r="A100" s="1" t="s">
        <v>213</v>
      </c>
      <c r="B100" s="2">
        <v>46264.0</v>
      </c>
      <c r="C100" s="1" t="s">
        <v>214</v>
      </c>
      <c r="D100" s="1" t="str">
        <f t="array" ref="D100">_xlfn.XLOOKUP(C100,Master_Pelanggan!A:A,Master_Pelanggan!B:B)</f>
        <v>Yuni Sari</v>
      </c>
      <c r="E100" s="1" t="str">
        <f t="array" ref="E100">_xlfn.XLOOKUP(C100,Master_Pelanggan!A:A,Master_Pelanggan!D:D)</f>
        <v>Prioritas</v>
      </c>
      <c r="F100" s="1" t="s">
        <v>17</v>
      </c>
      <c r="G100" s="1" t="s">
        <v>159</v>
      </c>
      <c r="H100" s="17">
        <v>1352.0</v>
      </c>
      <c r="I100" s="1" t="s">
        <v>27</v>
      </c>
      <c r="J100" s="1">
        <v>270.0</v>
      </c>
      <c r="K100" s="1" t="s">
        <v>46</v>
      </c>
      <c r="L100" s="18">
        <f t="shared" si="1"/>
        <v>365040</v>
      </c>
    </row>
    <row r="101">
      <c r="A101" s="1" t="s">
        <v>245</v>
      </c>
      <c r="B101" s="2">
        <v>46259.0</v>
      </c>
      <c r="C101" s="1" t="s">
        <v>247</v>
      </c>
      <c r="D101" s="1" t="str">
        <f t="array" ref="D101">_xlfn.XLOOKUP(C101,Master_Pelanggan!A:A,Master_Pelanggan!B:B)</f>
        <v>Tri Sinaga</v>
      </c>
      <c r="E101" s="1" t="str">
        <f t="array" ref="E101">_xlfn.XLOOKUP(C101,Master_Pelanggan!A:A,Master_Pelanggan!D:D)</f>
        <v>Reguler</v>
      </c>
      <c r="F101" s="1" t="s">
        <v>17</v>
      </c>
      <c r="G101" s="1" t="s">
        <v>159</v>
      </c>
      <c r="H101" s="17">
        <v>1352.0</v>
      </c>
      <c r="I101" s="1" t="s">
        <v>27</v>
      </c>
      <c r="J101" s="1">
        <v>270.0</v>
      </c>
      <c r="K101" s="1" t="s">
        <v>18</v>
      </c>
      <c r="L101" s="18">
        <f t="shared" si="1"/>
        <v>365040</v>
      </c>
    </row>
    <row r="102">
      <c r="A102" s="1" t="s">
        <v>249</v>
      </c>
      <c r="B102" s="2">
        <v>46263.0</v>
      </c>
      <c r="C102" s="1" t="s">
        <v>251</v>
      </c>
      <c r="D102" s="1" t="str">
        <f t="array" ref="D102">_xlfn.XLOOKUP(C102,Master_Pelanggan!A:A,Master_Pelanggan!B:B)</f>
        <v>Ahmad Wahyuni</v>
      </c>
      <c r="E102" s="1" t="str">
        <f t="array" ref="E102">_xlfn.XLOOKUP(C102,Master_Pelanggan!A:A,Master_Pelanggan!D:D)</f>
        <v>Reguler</v>
      </c>
      <c r="F102" s="1" t="s">
        <v>51</v>
      </c>
      <c r="G102" s="1" t="s">
        <v>139</v>
      </c>
      <c r="H102" s="17">
        <v>633.0</v>
      </c>
      <c r="I102" s="1" t="s">
        <v>19</v>
      </c>
      <c r="J102" s="1">
        <v>270.0</v>
      </c>
      <c r="K102" s="1" t="s">
        <v>46</v>
      </c>
      <c r="L102" s="18">
        <f t="shared" si="1"/>
        <v>170910</v>
      </c>
    </row>
    <row r="103">
      <c r="A103" s="1" t="s">
        <v>166</v>
      </c>
      <c r="B103" s="2">
        <v>46120.0</v>
      </c>
      <c r="C103" s="1" t="s">
        <v>167</v>
      </c>
      <c r="D103" s="1" t="str">
        <f t="array" ref="D103">_xlfn.XLOOKUP(C103,Master_Pelanggan!A:A,Master_Pelanggan!B:B)</f>
        <v>Nur Rahayu</v>
      </c>
      <c r="E103" s="1" t="str">
        <f t="array" ref="E103">_xlfn.XLOOKUP(C103,Master_Pelanggan!A:A,Master_Pelanggan!D:D)</f>
        <v>Reguler</v>
      </c>
      <c r="F103" s="1" t="s">
        <v>15</v>
      </c>
      <c r="G103" s="1" t="s">
        <v>177</v>
      </c>
      <c r="H103" s="17">
        <v>535.0</v>
      </c>
      <c r="I103" s="5" t="s">
        <v>227</v>
      </c>
      <c r="J103" s="1">
        <v>272.0</v>
      </c>
      <c r="K103" s="1" t="s">
        <v>18</v>
      </c>
      <c r="L103" s="18">
        <f t="shared" si="1"/>
        <v>145520</v>
      </c>
    </row>
    <row r="104">
      <c r="A104" s="1" t="s">
        <v>175</v>
      </c>
      <c r="B104" s="2">
        <v>46250.0</v>
      </c>
      <c r="C104" s="1" t="s">
        <v>176</v>
      </c>
      <c r="D104" s="1" t="str">
        <f t="array" ref="D104">_xlfn.XLOOKUP(C104,Master_Pelanggan!A:A,Master_Pelanggan!B:B)</f>
        <v>Ari Saputra</v>
      </c>
      <c r="E104" s="1" t="str">
        <f t="array" ref="E104">_xlfn.XLOOKUP(C104,Master_Pelanggan!A:A,Master_Pelanggan!D:D)</f>
        <v>Reguler</v>
      </c>
      <c r="F104" s="1" t="s">
        <v>15</v>
      </c>
      <c r="G104" s="1" t="s">
        <v>177</v>
      </c>
      <c r="H104" s="17">
        <v>535.0</v>
      </c>
      <c r="I104" s="1" t="s">
        <v>23</v>
      </c>
      <c r="J104" s="1">
        <v>276.0</v>
      </c>
      <c r="K104" s="1" t="s">
        <v>18</v>
      </c>
      <c r="L104" s="18">
        <f t="shared" si="1"/>
        <v>147660</v>
      </c>
    </row>
    <row r="105">
      <c r="A105" s="1" t="s">
        <v>164</v>
      </c>
      <c r="B105" s="2">
        <v>46211.0</v>
      </c>
      <c r="C105" s="1" t="s">
        <v>165</v>
      </c>
      <c r="D105" s="1" t="str">
        <f t="array" ref="D105">_xlfn.XLOOKUP(C105,Master_Pelanggan!A:A,Master_Pelanggan!B:B)</f>
        <v>Nur Santoso</v>
      </c>
      <c r="E105" s="1" t="str">
        <f t="array" ref="E105">_xlfn.XLOOKUP(C105,Master_Pelanggan!A:A,Master_Pelanggan!D:D)</f>
        <v>Prioritas</v>
      </c>
      <c r="F105" s="1" t="s">
        <v>17</v>
      </c>
      <c r="G105" s="1" t="s">
        <v>159</v>
      </c>
      <c r="H105" s="17">
        <v>1352.0</v>
      </c>
      <c r="I105" s="1" t="s">
        <v>55</v>
      </c>
      <c r="J105" s="1">
        <v>278.0</v>
      </c>
      <c r="K105" s="1" t="s">
        <v>46</v>
      </c>
      <c r="L105" s="18">
        <f t="shared" si="1"/>
        <v>375856</v>
      </c>
    </row>
    <row r="106">
      <c r="A106" s="1" t="s">
        <v>232</v>
      </c>
      <c r="B106" s="2">
        <v>46364.0</v>
      </c>
      <c r="C106" s="1" t="s">
        <v>234</v>
      </c>
      <c r="D106" s="1" t="str">
        <f t="array" ref="D106">_xlfn.XLOOKUP(C106,Master_Pelanggan!A:A,Master_Pelanggan!B:B)</f>
        <v>Rizky Gunawan</v>
      </c>
      <c r="E106" s="1" t="str">
        <f t="array" ref="E106">_xlfn.XLOOKUP(C106,Master_Pelanggan!A:A,Master_Pelanggan!D:D)</f>
        <v>Prioritas</v>
      </c>
      <c r="F106" s="1" t="s">
        <v>51</v>
      </c>
      <c r="G106" s="1" t="s">
        <v>139</v>
      </c>
      <c r="H106" s="17">
        <v>633.0</v>
      </c>
      <c r="I106" s="5" t="s">
        <v>55</v>
      </c>
      <c r="J106" s="1">
        <v>282.0</v>
      </c>
      <c r="K106" s="1" t="s">
        <v>18</v>
      </c>
      <c r="L106" s="18">
        <f t="shared" si="1"/>
        <v>178506</v>
      </c>
    </row>
    <row r="107">
      <c r="A107" s="1" t="s">
        <v>140</v>
      </c>
      <c r="B107" s="2">
        <v>46030.0</v>
      </c>
      <c r="C107" s="1" t="s">
        <v>141</v>
      </c>
      <c r="D107" s="1" t="str">
        <f t="array" ref="D107">_xlfn.XLOOKUP(C107,Master_Pelanggan!A:A,Master_Pelanggan!B:B)</f>
        <v>Yuni Lestari</v>
      </c>
      <c r="E107" s="1" t="str">
        <f t="array" ref="E107">_xlfn.XLOOKUP(C107,Master_Pelanggan!A:A,Master_Pelanggan!D:D)</f>
        <v>Reguler</v>
      </c>
      <c r="F107" s="1" t="s">
        <v>38</v>
      </c>
      <c r="G107" s="1" t="s">
        <v>210</v>
      </c>
      <c r="H107" s="17">
        <v>966.0</v>
      </c>
      <c r="I107" s="5" t="s">
        <v>19</v>
      </c>
      <c r="J107" s="1">
        <v>284.0</v>
      </c>
      <c r="K107" s="1" t="s">
        <v>18</v>
      </c>
      <c r="L107" s="18">
        <f t="shared" si="1"/>
        <v>274344</v>
      </c>
    </row>
    <row r="108">
      <c r="A108" s="1" t="s">
        <v>228</v>
      </c>
      <c r="B108" s="2">
        <v>46265.0</v>
      </c>
      <c r="C108" s="1" t="s">
        <v>78</v>
      </c>
      <c r="D108" s="1" t="str">
        <f t="array" ref="D108">_xlfn.XLOOKUP(C108,Master_Pelanggan!A:A,Master_Pelanggan!B:B)</f>
        <v>Agus Wahyuni</v>
      </c>
      <c r="E108" s="1" t="str">
        <f t="array" ref="E108">_xlfn.XLOOKUP(C108,Master_Pelanggan!A:A,Master_Pelanggan!D:D)</f>
        <v>Subsidi</v>
      </c>
      <c r="F108" s="1" t="s">
        <v>38</v>
      </c>
      <c r="G108" s="1" t="s">
        <v>210</v>
      </c>
      <c r="H108" s="17">
        <v>966.0</v>
      </c>
      <c r="I108" s="5" t="s">
        <v>23</v>
      </c>
      <c r="J108" s="1">
        <v>313.0</v>
      </c>
      <c r="K108" s="1" t="s">
        <v>18</v>
      </c>
      <c r="L108" s="18">
        <f t="shared" si="1"/>
        <v>302358</v>
      </c>
    </row>
    <row r="109">
      <c r="A109" s="1" t="s">
        <v>76</v>
      </c>
      <c r="B109" s="2">
        <v>46264.0</v>
      </c>
      <c r="C109" s="1" t="s">
        <v>78</v>
      </c>
      <c r="D109" s="1" t="str">
        <f t="array" ref="D109">_xlfn.XLOOKUP(C109,Master_Pelanggan!A:A,Master_Pelanggan!B:B)</f>
        <v>Agus Wahyuni</v>
      </c>
      <c r="E109" s="1" t="str">
        <f t="array" ref="E109">_xlfn.XLOOKUP(C109,Master_Pelanggan!A:A,Master_Pelanggan!D:D)</f>
        <v>Subsidi</v>
      </c>
      <c r="F109" s="1" t="s">
        <v>30</v>
      </c>
      <c r="G109" s="1" t="s">
        <v>266</v>
      </c>
      <c r="H109" s="17">
        <v>415.0</v>
      </c>
      <c r="I109" s="5" t="s">
        <v>27</v>
      </c>
      <c r="J109" s="1">
        <v>317.0</v>
      </c>
      <c r="K109" s="1" t="s">
        <v>18</v>
      </c>
      <c r="L109" s="18">
        <f t="shared" si="1"/>
        <v>131555</v>
      </c>
    </row>
    <row r="110">
      <c r="A110" s="1" t="s">
        <v>28</v>
      </c>
      <c r="B110" s="2">
        <v>46258.0</v>
      </c>
      <c r="C110" s="1" t="s">
        <v>29</v>
      </c>
      <c r="D110" s="1" t="str">
        <f t="array" ref="D110">_xlfn.XLOOKUP(C110,Master_Pelanggan!A:A,Master_Pelanggan!B:B)</f>
        <v>Maya Saputra</v>
      </c>
      <c r="E110" s="1" t="str">
        <f t="array" ref="E110">_xlfn.XLOOKUP(C110,Master_Pelanggan!A:A,Master_Pelanggan!D:D)</f>
        <v>Subsidi</v>
      </c>
      <c r="F110" s="1" t="s">
        <v>30</v>
      </c>
      <c r="G110" s="1" t="s">
        <v>266</v>
      </c>
      <c r="H110" s="17">
        <v>415.0</v>
      </c>
      <c r="I110" s="5" t="s">
        <v>23</v>
      </c>
      <c r="J110" s="1">
        <v>321.0</v>
      </c>
      <c r="K110" s="1" t="s">
        <v>18</v>
      </c>
      <c r="L110" s="18">
        <f t="shared" si="1"/>
        <v>133215</v>
      </c>
    </row>
    <row r="111">
      <c r="A111" s="1" t="s">
        <v>208</v>
      </c>
      <c r="B111" s="2">
        <v>46303.0</v>
      </c>
      <c r="C111" s="1" t="s">
        <v>209</v>
      </c>
      <c r="D111" s="1" t="str">
        <f t="array" ref="D111">_xlfn.XLOOKUP(C111,Master_Pelanggan!A:A,Master_Pelanggan!B:B)</f>
        <v>Budi Hidayat</v>
      </c>
      <c r="E111" s="1" t="str">
        <f t="array" ref="E111">_xlfn.XLOOKUP(C111,Master_Pelanggan!A:A,Master_Pelanggan!D:D)</f>
        <v>Reguler</v>
      </c>
      <c r="F111" s="1" t="s">
        <v>30</v>
      </c>
      <c r="G111" s="1" t="s">
        <v>266</v>
      </c>
      <c r="H111" s="17">
        <v>415.0</v>
      </c>
      <c r="I111" s="5" t="s">
        <v>27</v>
      </c>
      <c r="J111" s="1">
        <v>322.0</v>
      </c>
      <c r="K111" s="1" t="s">
        <v>18</v>
      </c>
      <c r="L111" s="18">
        <f t="shared" si="1"/>
        <v>133630</v>
      </c>
    </row>
    <row r="112">
      <c r="A112" s="1" t="s">
        <v>215</v>
      </c>
      <c r="B112" s="2">
        <v>46273.0</v>
      </c>
      <c r="C112" s="1" t="s">
        <v>169</v>
      </c>
      <c r="D112" s="1" t="str">
        <f t="array" ref="D112">_xlfn.XLOOKUP(C112,Master_Pelanggan!A:A,Master_Pelanggan!B:B)</f>
        <v>Rudi Suharto</v>
      </c>
      <c r="E112" s="1" t="str">
        <f t="array" ref="E112">_xlfn.XLOOKUP(C112,Master_Pelanggan!A:A,Master_Pelanggan!D:D)</f>
        <v>Reguler</v>
      </c>
      <c r="F112" s="1" t="s">
        <v>33</v>
      </c>
      <c r="G112" s="1" t="s">
        <v>150</v>
      </c>
      <c r="H112" s="17">
        <v>1444.0</v>
      </c>
      <c r="I112" s="5" t="s">
        <v>23</v>
      </c>
      <c r="J112" s="1">
        <v>323.0</v>
      </c>
      <c r="K112" s="1" t="s">
        <v>46</v>
      </c>
      <c r="L112" s="18">
        <f t="shared" si="1"/>
        <v>466412</v>
      </c>
    </row>
    <row r="113">
      <c r="A113" s="1" t="s">
        <v>217</v>
      </c>
      <c r="B113" s="2">
        <v>46265.0</v>
      </c>
      <c r="C113" s="1" t="s">
        <v>73</v>
      </c>
      <c r="D113" s="1" t="str">
        <f t="array" ref="D113">_xlfn.XLOOKUP(C113,Master_Pelanggan!A:A,Master_Pelanggan!B:B)</f>
        <v>Nina Syahputra</v>
      </c>
      <c r="E113" s="1" t="str">
        <f t="array" ref="E113">_xlfn.XLOOKUP(C113,Master_Pelanggan!A:A,Master_Pelanggan!D:D)</f>
        <v>Reguler</v>
      </c>
      <c r="F113" s="1" t="s">
        <v>15</v>
      </c>
      <c r="G113" s="1" t="s">
        <v>177</v>
      </c>
      <c r="H113" s="17">
        <v>535.0</v>
      </c>
      <c r="I113" s="5" t="s">
        <v>35</v>
      </c>
      <c r="J113" s="1">
        <v>325.0</v>
      </c>
      <c r="K113" s="1" t="s">
        <v>46</v>
      </c>
      <c r="L113" s="18">
        <f t="shared" si="1"/>
        <v>173875</v>
      </c>
    </row>
    <row r="114">
      <c r="A114" s="1" t="s">
        <v>39</v>
      </c>
      <c r="B114" s="2">
        <v>46242.0</v>
      </c>
      <c r="C114" s="1" t="s">
        <v>40</v>
      </c>
      <c r="D114" s="1" t="str">
        <f t="array" ref="D114">_xlfn.XLOOKUP(C114,Master_Pelanggan!A:A,Master_Pelanggan!B:B)</f>
        <v>Dwi Santoso</v>
      </c>
      <c r="E114" s="1" t="str">
        <f t="array" ref="E114">_xlfn.XLOOKUP(C114,Master_Pelanggan!A:A,Master_Pelanggan!D:D)</f>
        <v>Prioritas</v>
      </c>
      <c r="F114" s="1" t="s">
        <v>15</v>
      </c>
      <c r="G114" s="1" t="s">
        <v>177</v>
      </c>
      <c r="H114" s="17">
        <v>535.0</v>
      </c>
      <c r="I114" s="5" t="s">
        <v>23</v>
      </c>
      <c r="J114" s="1">
        <v>326.0</v>
      </c>
      <c r="K114" s="1" t="s">
        <v>18</v>
      </c>
      <c r="L114" s="18">
        <f t="shared" si="1"/>
        <v>174410</v>
      </c>
    </row>
    <row r="115">
      <c r="A115" s="1" t="s">
        <v>187</v>
      </c>
      <c r="B115" s="2">
        <v>46254.0</v>
      </c>
      <c r="C115" s="1" t="s">
        <v>188</v>
      </c>
      <c r="D115" s="1" t="str">
        <f t="array" ref="D115">_xlfn.XLOOKUP(C115,Master_Pelanggan!A:A,Master_Pelanggan!B:B)</f>
        <v>Dwi Pratama</v>
      </c>
      <c r="E115" s="1" t="str">
        <f t="array" ref="E115">_xlfn.XLOOKUP(C115,Master_Pelanggan!A:A,Master_Pelanggan!D:D)</f>
        <v>Reguler</v>
      </c>
      <c r="F115" s="1" t="s">
        <v>15</v>
      </c>
      <c r="G115" s="1" t="s">
        <v>177</v>
      </c>
      <c r="H115" s="17">
        <v>535.0</v>
      </c>
      <c r="I115" s="5" t="s">
        <v>35</v>
      </c>
      <c r="J115" s="1">
        <v>326.0</v>
      </c>
      <c r="K115" s="1" t="s">
        <v>46</v>
      </c>
      <c r="L115" s="18">
        <f t="shared" si="1"/>
        <v>174410</v>
      </c>
    </row>
    <row r="116">
      <c r="A116" s="1" t="s">
        <v>108</v>
      </c>
      <c r="B116" s="2">
        <v>46248.0</v>
      </c>
      <c r="C116" s="1" t="s">
        <v>110</v>
      </c>
      <c r="D116" s="1" t="str">
        <f t="array" ref="D116">_xlfn.XLOOKUP(C116,Master_Pelanggan!A:A,Master_Pelanggan!B:B)</f>
        <v>Ari Setiawan</v>
      </c>
      <c r="E116" s="1" t="str">
        <f t="array" ref="E116">_xlfn.XLOOKUP(C116,Master_Pelanggan!A:A,Master_Pelanggan!D:D)</f>
        <v>Reguler</v>
      </c>
      <c r="F116" s="1" t="s">
        <v>51</v>
      </c>
      <c r="G116" s="1" t="s">
        <v>139</v>
      </c>
      <c r="H116" s="17">
        <v>633.0</v>
      </c>
      <c r="I116" s="5" t="s">
        <v>23</v>
      </c>
      <c r="J116" s="1">
        <v>345.0</v>
      </c>
      <c r="K116" s="1" t="s">
        <v>18</v>
      </c>
      <c r="L116" s="18">
        <f t="shared" si="1"/>
        <v>218385</v>
      </c>
    </row>
    <row r="117">
      <c r="A117" s="1" t="s">
        <v>103</v>
      </c>
      <c r="B117" s="2">
        <v>46257.0</v>
      </c>
      <c r="C117" s="1" t="s">
        <v>104</v>
      </c>
      <c r="D117" s="1" t="str">
        <f t="array" ref="D117">_xlfn.XLOOKUP(C117,Master_Pelanggan!A:A,Master_Pelanggan!B:B)</f>
        <v>Dewi Sari</v>
      </c>
      <c r="E117" s="1" t="str">
        <f t="array" ref="E117">_xlfn.XLOOKUP(C117,Master_Pelanggan!A:A,Master_Pelanggan!D:D)</f>
        <v>Reguler</v>
      </c>
      <c r="F117" s="1" t="s">
        <v>51</v>
      </c>
      <c r="G117" s="1" t="s">
        <v>139</v>
      </c>
      <c r="H117" s="17">
        <v>633.0</v>
      </c>
      <c r="I117" s="5" t="s">
        <v>23</v>
      </c>
      <c r="J117" s="1">
        <v>348.0</v>
      </c>
      <c r="K117" s="1" t="s">
        <v>18</v>
      </c>
      <c r="L117" s="18">
        <f t="shared" si="1"/>
        <v>220284</v>
      </c>
    </row>
    <row r="118">
      <c r="A118" s="1" t="s">
        <v>95</v>
      </c>
      <c r="B118" s="2">
        <v>46261.0</v>
      </c>
      <c r="C118" s="1" t="s">
        <v>96</v>
      </c>
      <c r="D118" s="1" t="str">
        <f t="array" ref="D118">_xlfn.XLOOKUP(C118,Master_Pelanggan!A:A,Master_Pelanggan!B:B)</f>
        <v>Dwi Nugroho</v>
      </c>
      <c r="E118" s="1" t="str">
        <f t="array" ref="E118">_xlfn.XLOOKUP(C118,Master_Pelanggan!A:A,Master_Pelanggan!D:D)</f>
        <v>Prioritas</v>
      </c>
      <c r="F118" s="1" t="s">
        <v>30</v>
      </c>
      <c r="G118" s="1" t="s">
        <v>266</v>
      </c>
      <c r="H118" s="17">
        <v>415.0</v>
      </c>
      <c r="I118" s="5" t="s">
        <v>19</v>
      </c>
      <c r="J118" s="1">
        <v>352.0</v>
      </c>
      <c r="K118" s="1" t="s">
        <v>18</v>
      </c>
      <c r="L118" s="18">
        <f t="shared" si="1"/>
        <v>146080</v>
      </c>
    </row>
    <row r="119">
      <c r="A119" s="1" t="s">
        <v>74</v>
      </c>
      <c r="B119" s="2">
        <v>46262.0</v>
      </c>
      <c r="C119" s="1" t="s">
        <v>75</v>
      </c>
      <c r="D119" s="1" t="str">
        <f t="array" ref="D119">_xlfn.XLOOKUP(C119,Master_Pelanggan!A:A,Master_Pelanggan!B:B)</f>
        <v>Tri Wibowo</v>
      </c>
      <c r="E119" s="1" t="str">
        <f t="array" ref="E119">_xlfn.XLOOKUP(C119,Master_Pelanggan!A:A,Master_Pelanggan!D:D)</f>
        <v>Subsidi</v>
      </c>
      <c r="F119" s="1" t="s">
        <v>15</v>
      </c>
      <c r="G119" s="1" t="s">
        <v>177</v>
      </c>
      <c r="H119" s="17">
        <v>535.0</v>
      </c>
      <c r="I119" s="5" t="s">
        <v>27</v>
      </c>
      <c r="J119" s="1">
        <v>355.0</v>
      </c>
      <c r="K119" s="1" t="s">
        <v>18</v>
      </c>
      <c r="L119" s="18">
        <f t="shared" si="1"/>
        <v>189925</v>
      </c>
    </row>
    <row r="120">
      <c r="A120" s="1" t="s">
        <v>65</v>
      </c>
      <c r="B120" s="2">
        <v>46253.0</v>
      </c>
      <c r="C120" s="1" t="s">
        <v>66</v>
      </c>
      <c r="D120" s="1" t="str">
        <f t="array" ref="D120">_xlfn.XLOOKUP(C120,Master_Pelanggan!A:A,Master_Pelanggan!B:B)</f>
        <v>Ayu Wahyuni</v>
      </c>
      <c r="E120" s="1" t="str">
        <f t="array" ref="E120">_xlfn.XLOOKUP(C120,Master_Pelanggan!A:A,Master_Pelanggan!D:D)</f>
        <v>Reguler</v>
      </c>
      <c r="F120" s="1" t="s">
        <v>17</v>
      </c>
      <c r="G120" s="1" t="s">
        <v>159</v>
      </c>
      <c r="H120" s="17">
        <v>1352.0</v>
      </c>
      <c r="I120" s="5" t="s">
        <v>19</v>
      </c>
      <c r="J120" s="1">
        <v>356.0</v>
      </c>
      <c r="K120" s="1" t="s">
        <v>18</v>
      </c>
      <c r="L120" s="18">
        <f t="shared" si="1"/>
        <v>481312</v>
      </c>
    </row>
    <row r="121">
      <c r="A121" s="1" t="s">
        <v>48</v>
      </c>
      <c r="B121" s="2">
        <v>46061.0</v>
      </c>
      <c r="C121" s="1" t="s">
        <v>50</v>
      </c>
      <c r="D121" s="1" t="str">
        <f t="array" ref="D121">_xlfn.XLOOKUP(C121,Master_Pelanggan!A:A,Master_Pelanggan!B:B)</f>
        <v>Indah Santoso</v>
      </c>
      <c r="E121" s="1" t="str">
        <f t="array" ref="E121">_xlfn.XLOOKUP(C121,Master_Pelanggan!A:A,Master_Pelanggan!D:D)</f>
        <v>Reguler</v>
      </c>
      <c r="F121" s="1" t="s">
        <v>51</v>
      </c>
      <c r="G121" s="1" t="s">
        <v>139</v>
      </c>
      <c r="H121" s="17">
        <v>633.0</v>
      </c>
      <c r="I121" s="1" t="s">
        <v>23</v>
      </c>
      <c r="J121" s="1">
        <v>385.0</v>
      </c>
      <c r="K121" s="1" t="s">
        <v>18</v>
      </c>
      <c r="L121" s="18">
        <f t="shared" si="1"/>
        <v>243705</v>
      </c>
    </row>
    <row r="122">
      <c r="G122" s="4" t="s">
        <v>362</v>
      </c>
      <c r="H122" s="18" t="s">
        <v>362</v>
      </c>
    </row>
    <row r="123">
      <c r="G123" s="4" t="s">
        <v>362</v>
      </c>
      <c r="H123" s="18" t="s">
        <v>362</v>
      </c>
    </row>
    <row r="124">
      <c r="G124" s="4" t="s">
        <v>362</v>
      </c>
      <c r="H124" s="18" t="s">
        <v>362</v>
      </c>
    </row>
    <row r="125">
      <c r="G125" s="4" t="s">
        <v>362</v>
      </c>
      <c r="H125" s="18" t="s">
        <v>362</v>
      </c>
    </row>
    <row r="126">
      <c r="G126" s="4" t="s">
        <v>362</v>
      </c>
      <c r="H126" s="18" t="s">
        <v>362</v>
      </c>
    </row>
    <row r="127">
      <c r="G127" s="4" t="s">
        <v>362</v>
      </c>
      <c r="H127" s="18" t="s">
        <v>362</v>
      </c>
    </row>
    <row r="128">
      <c r="G128" s="4" t="s">
        <v>362</v>
      </c>
      <c r="H128" s="18" t="s">
        <v>362</v>
      </c>
    </row>
    <row r="129">
      <c r="G129" s="4" t="s">
        <v>362</v>
      </c>
      <c r="H129" s="18" t="s">
        <v>362</v>
      </c>
    </row>
    <row r="130">
      <c r="G130" s="4" t="s">
        <v>362</v>
      </c>
      <c r="H130" s="18" t="s">
        <v>362</v>
      </c>
    </row>
    <row r="131">
      <c r="G131" s="4" t="s">
        <v>362</v>
      </c>
      <c r="H131" s="18" t="s">
        <v>362</v>
      </c>
    </row>
    <row r="132">
      <c r="G132" s="4" t="s">
        <v>362</v>
      </c>
      <c r="H132" s="18" t="s">
        <v>362</v>
      </c>
    </row>
    <row r="133">
      <c r="G133" s="4" t="s">
        <v>362</v>
      </c>
      <c r="H133" s="18" t="s">
        <v>362</v>
      </c>
    </row>
    <row r="134">
      <c r="G134" s="4" t="s">
        <v>362</v>
      </c>
      <c r="H134" s="18" t="s">
        <v>362</v>
      </c>
    </row>
    <row r="135">
      <c r="G135" s="4" t="s">
        <v>362</v>
      </c>
      <c r="H135" s="18" t="s">
        <v>362</v>
      </c>
    </row>
    <row r="136">
      <c r="G136" s="4" t="s">
        <v>362</v>
      </c>
      <c r="H136" s="18" t="s">
        <v>362</v>
      </c>
    </row>
    <row r="137">
      <c r="G137" s="4" t="s">
        <v>362</v>
      </c>
      <c r="H137" s="18" t="s">
        <v>362</v>
      </c>
    </row>
    <row r="138">
      <c r="G138" s="4" t="s">
        <v>362</v>
      </c>
      <c r="H138" s="18" t="s">
        <v>362</v>
      </c>
    </row>
    <row r="139">
      <c r="G139" s="4" t="s">
        <v>362</v>
      </c>
      <c r="H139" s="18" t="s">
        <v>362</v>
      </c>
    </row>
    <row r="140">
      <c r="G140" s="4" t="s">
        <v>362</v>
      </c>
      <c r="H140" s="18" t="s">
        <v>362</v>
      </c>
    </row>
    <row r="141">
      <c r="G141" s="4" t="s">
        <v>362</v>
      </c>
      <c r="H141" s="18" t="s">
        <v>362</v>
      </c>
    </row>
    <row r="142">
      <c r="G142" s="4" t="s">
        <v>362</v>
      </c>
      <c r="H142" s="18" t="s">
        <v>362</v>
      </c>
    </row>
    <row r="143">
      <c r="G143" s="4" t="s">
        <v>362</v>
      </c>
      <c r="H143" s="18" t="s">
        <v>362</v>
      </c>
    </row>
    <row r="144">
      <c r="G144" s="4" t="s">
        <v>362</v>
      </c>
      <c r="H144" s="18" t="s">
        <v>362</v>
      </c>
    </row>
    <row r="145">
      <c r="G145" s="4" t="s">
        <v>362</v>
      </c>
      <c r="H145" s="18" t="s">
        <v>362</v>
      </c>
    </row>
    <row r="146">
      <c r="G146" s="4" t="s">
        <v>362</v>
      </c>
      <c r="H146" s="18" t="s">
        <v>362</v>
      </c>
    </row>
    <row r="147">
      <c r="G147" s="4" t="s">
        <v>362</v>
      </c>
      <c r="H147" s="18" t="s">
        <v>362</v>
      </c>
    </row>
    <row r="148">
      <c r="G148" s="4" t="s">
        <v>362</v>
      </c>
      <c r="H148" s="18" t="s">
        <v>362</v>
      </c>
    </row>
    <row r="149">
      <c r="G149" s="4" t="s">
        <v>362</v>
      </c>
      <c r="H149" s="18" t="s">
        <v>362</v>
      </c>
    </row>
    <row r="150">
      <c r="G150" s="4" t="s">
        <v>362</v>
      </c>
      <c r="H150" s="18" t="s">
        <v>362</v>
      </c>
    </row>
    <row r="151">
      <c r="G151" s="4" t="s">
        <v>362</v>
      </c>
      <c r="H151" s="18" t="s">
        <v>362</v>
      </c>
    </row>
    <row r="152">
      <c r="G152" s="4" t="s">
        <v>362</v>
      </c>
      <c r="H152" s="18" t="s">
        <v>362</v>
      </c>
    </row>
    <row r="153">
      <c r="G153" s="4" t="s">
        <v>362</v>
      </c>
      <c r="H153" s="18" t="s">
        <v>362</v>
      </c>
    </row>
    <row r="154">
      <c r="G154" s="4" t="s">
        <v>362</v>
      </c>
      <c r="H154" s="18" t="s">
        <v>362</v>
      </c>
    </row>
    <row r="155">
      <c r="G155" s="4" t="s">
        <v>362</v>
      </c>
      <c r="H155" s="18" t="s">
        <v>362</v>
      </c>
    </row>
    <row r="156">
      <c r="G156" s="4" t="s">
        <v>362</v>
      </c>
      <c r="H156" s="18" t="s">
        <v>362</v>
      </c>
    </row>
    <row r="157">
      <c r="G157" s="4" t="s">
        <v>362</v>
      </c>
      <c r="H157" s="18" t="s">
        <v>362</v>
      </c>
    </row>
    <row r="158">
      <c r="G158" s="4" t="s">
        <v>362</v>
      </c>
      <c r="H158" s="18" t="s">
        <v>362</v>
      </c>
    </row>
    <row r="159">
      <c r="G159" s="4" t="s">
        <v>362</v>
      </c>
      <c r="H159" s="18" t="s">
        <v>362</v>
      </c>
    </row>
    <row r="160">
      <c r="G160" s="4" t="s">
        <v>362</v>
      </c>
      <c r="H160" s="18" t="s">
        <v>362</v>
      </c>
    </row>
    <row r="161">
      <c r="G161" s="4" t="s">
        <v>362</v>
      </c>
      <c r="H161" s="18" t="s">
        <v>362</v>
      </c>
    </row>
    <row r="162">
      <c r="G162" s="4" t="s">
        <v>362</v>
      </c>
      <c r="H162" s="18" t="s">
        <v>362</v>
      </c>
    </row>
    <row r="163">
      <c r="G163" s="4" t="s">
        <v>362</v>
      </c>
      <c r="H163" s="18" t="s">
        <v>362</v>
      </c>
    </row>
    <row r="164">
      <c r="G164" s="4" t="s">
        <v>362</v>
      </c>
      <c r="H164" s="18" t="s">
        <v>362</v>
      </c>
    </row>
    <row r="165">
      <c r="G165" s="4" t="s">
        <v>362</v>
      </c>
      <c r="H165" s="18" t="s">
        <v>362</v>
      </c>
    </row>
    <row r="166">
      <c r="G166" s="4" t="s">
        <v>362</v>
      </c>
      <c r="H166" s="18" t="s">
        <v>362</v>
      </c>
    </row>
    <row r="167">
      <c r="G167" s="4" t="s">
        <v>362</v>
      </c>
      <c r="H167" s="18" t="s">
        <v>362</v>
      </c>
    </row>
    <row r="168">
      <c r="G168" s="4" t="s">
        <v>362</v>
      </c>
      <c r="H168" s="18" t="s">
        <v>362</v>
      </c>
    </row>
    <row r="169">
      <c r="G169" s="4" t="s">
        <v>362</v>
      </c>
      <c r="H169" s="18" t="s">
        <v>362</v>
      </c>
    </row>
    <row r="170">
      <c r="G170" s="4" t="s">
        <v>362</v>
      </c>
      <c r="H170" s="18" t="s">
        <v>362</v>
      </c>
    </row>
    <row r="171">
      <c r="G171" s="4" t="s">
        <v>362</v>
      </c>
      <c r="H171" s="18" t="s">
        <v>362</v>
      </c>
    </row>
    <row r="172">
      <c r="G172" s="4" t="s">
        <v>362</v>
      </c>
      <c r="H172" s="18" t="s">
        <v>362</v>
      </c>
    </row>
    <row r="173">
      <c r="G173" s="4" t="s">
        <v>362</v>
      </c>
      <c r="H173" s="18" t="s">
        <v>362</v>
      </c>
    </row>
    <row r="174">
      <c r="G174" s="4" t="s">
        <v>362</v>
      </c>
      <c r="H174" s="18" t="s">
        <v>362</v>
      </c>
    </row>
    <row r="175">
      <c r="G175" s="4" t="s">
        <v>362</v>
      </c>
      <c r="H175" s="18" t="s">
        <v>362</v>
      </c>
    </row>
    <row r="176">
      <c r="G176" s="4" t="s">
        <v>362</v>
      </c>
      <c r="H176" s="18" t="s">
        <v>362</v>
      </c>
    </row>
    <row r="177">
      <c r="G177" s="4" t="s">
        <v>362</v>
      </c>
      <c r="H177" s="18" t="s">
        <v>362</v>
      </c>
    </row>
    <row r="178">
      <c r="G178" s="4" t="s">
        <v>362</v>
      </c>
      <c r="H178" s="18" t="s">
        <v>362</v>
      </c>
    </row>
    <row r="179">
      <c r="G179" s="4" t="s">
        <v>362</v>
      </c>
      <c r="H179" s="18" t="s">
        <v>362</v>
      </c>
    </row>
    <row r="180">
      <c r="G180" s="4" t="s">
        <v>362</v>
      </c>
      <c r="H180" s="18" t="s">
        <v>362</v>
      </c>
    </row>
    <row r="181">
      <c r="G181" s="4" t="s">
        <v>362</v>
      </c>
      <c r="H181" s="18" t="s">
        <v>362</v>
      </c>
    </row>
    <row r="182">
      <c r="G182" s="4" t="s">
        <v>362</v>
      </c>
      <c r="H182" s="18" t="s">
        <v>362</v>
      </c>
    </row>
    <row r="183">
      <c r="G183" s="4" t="s">
        <v>362</v>
      </c>
      <c r="H183" s="18" t="s">
        <v>362</v>
      </c>
    </row>
    <row r="184">
      <c r="G184" s="4" t="s">
        <v>362</v>
      </c>
      <c r="H184" s="18" t="s">
        <v>362</v>
      </c>
    </row>
    <row r="185">
      <c r="G185" s="4" t="s">
        <v>362</v>
      </c>
      <c r="H185" s="18" t="s">
        <v>362</v>
      </c>
    </row>
    <row r="186">
      <c r="G186" s="4" t="s">
        <v>362</v>
      </c>
      <c r="H186" s="18" t="s">
        <v>362</v>
      </c>
    </row>
    <row r="187">
      <c r="G187" s="4" t="s">
        <v>362</v>
      </c>
      <c r="H187" s="18" t="s">
        <v>362</v>
      </c>
    </row>
    <row r="188">
      <c r="G188" s="4" t="s">
        <v>362</v>
      </c>
      <c r="H188" s="18" t="s">
        <v>362</v>
      </c>
    </row>
    <row r="189">
      <c r="G189" s="4" t="s">
        <v>362</v>
      </c>
      <c r="H189" s="18" t="s">
        <v>362</v>
      </c>
    </row>
    <row r="190">
      <c r="G190" s="4" t="s">
        <v>362</v>
      </c>
      <c r="H190" s="18" t="s">
        <v>362</v>
      </c>
    </row>
    <row r="191">
      <c r="G191" s="4" t="s">
        <v>362</v>
      </c>
      <c r="H191" s="18" t="s">
        <v>362</v>
      </c>
    </row>
    <row r="192">
      <c r="G192" s="4" t="s">
        <v>362</v>
      </c>
      <c r="H192" s="18" t="s">
        <v>362</v>
      </c>
    </row>
    <row r="193">
      <c r="G193" s="4" t="s">
        <v>362</v>
      </c>
      <c r="H193" s="18" t="s">
        <v>362</v>
      </c>
    </row>
    <row r="194">
      <c r="G194" s="4" t="s">
        <v>362</v>
      </c>
      <c r="H194" s="18" t="s">
        <v>362</v>
      </c>
    </row>
    <row r="195">
      <c r="G195" s="4" t="s">
        <v>362</v>
      </c>
      <c r="H195" s="18" t="s">
        <v>362</v>
      </c>
    </row>
    <row r="196">
      <c r="G196" s="4" t="s">
        <v>362</v>
      </c>
      <c r="H196" s="18" t="s">
        <v>362</v>
      </c>
    </row>
    <row r="197">
      <c r="G197" s="4" t="s">
        <v>362</v>
      </c>
      <c r="H197" s="18" t="s">
        <v>362</v>
      </c>
    </row>
    <row r="198">
      <c r="G198" s="4" t="s">
        <v>362</v>
      </c>
      <c r="H198" s="18" t="s">
        <v>362</v>
      </c>
    </row>
    <row r="199">
      <c r="G199" s="4" t="s">
        <v>362</v>
      </c>
      <c r="H199" s="18" t="s">
        <v>362</v>
      </c>
    </row>
    <row r="200">
      <c r="G200" s="4" t="s">
        <v>362</v>
      </c>
      <c r="H200" s="18" t="s">
        <v>362</v>
      </c>
    </row>
    <row r="201">
      <c r="G201" s="4" t="s">
        <v>362</v>
      </c>
      <c r="H201" s="18" t="s">
        <v>362</v>
      </c>
    </row>
    <row r="202">
      <c r="G202" s="4" t="s">
        <v>362</v>
      </c>
      <c r="H202" s="18" t="s">
        <v>362</v>
      </c>
    </row>
    <row r="203">
      <c r="G203" s="4" t="s">
        <v>362</v>
      </c>
      <c r="H203" s="18" t="s">
        <v>362</v>
      </c>
    </row>
    <row r="204">
      <c r="G204" s="4" t="s">
        <v>362</v>
      </c>
      <c r="H204" s="18" t="s">
        <v>362</v>
      </c>
    </row>
    <row r="205">
      <c r="G205" s="4" t="s">
        <v>362</v>
      </c>
      <c r="H205" s="18" t="s">
        <v>362</v>
      </c>
    </row>
    <row r="206">
      <c r="G206" s="4" t="s">
        <v>362</v>
      </c>
      <c r="H206" s="18" t="s">
        <v>362</v>
      </c>
    </row>
    <row r="207">
      <c r="G207" s="4" t="s">
        <v>362</v>
      </c>
      <c r="H207" s="18" t="s">
        <v>362</v>
      </c>
    </row>
    <row r="208">
      <c r="G208" s="4" t="s">
        <v>362</v>
      </c>
      <c r="H208" s="18" t="s">
        <v>362</v>
      </c>
    </row>
    <row r="209">
      <c r="G209" s="4" t="s">
        <v>362</v>
      </c>
      <c r="H209" s="18" t="s">
        <v>362</v>
      </c>
    </row>
    <row r="210">
      <c r="G210" s="4" t="s">
        <v>362</v>
      </c>
      <c r="H210" s="18" t="s">
        <v>362</v>
      </c>
    </row>
    <row r="211">
      <c r="G211" s="4" t="s">
        <v>362</v>
      </c>
      <c r="H211" s="18" t="s">
        <v>362</v>
      </c>
    </row>
    <row r="212">
      <c r="G212" s="4" t="s">
        <v>362</v>
      </c>
      <c r="H212" s="18" t="s">
        <v>362</v>
      </c>
    </row>
    <row r="213">
      <c r="G213" s="4" t="s">
        <v>362</v>
      </c>
      <c r="H213" s="18" t="s">
        <v>362</v>
      </c>
    </row>
    <row r="214">
      <c r="G214" s="4" t="s">
        <v>362</v>
      </c>
      <c r="H214" s="18" t="s">
        <v>362</v>
      </c>
    </row>
    <row r="215">
      <c r="G215" s="4" t="s">
        <v>362</v>
      </c>
      <c r="H215" s="18" t="s">
        <v>362</v>
      </c>
    </row>
    <row r="216">
      <c r="G216" s="4" t="s">
        <v>362</v>
      </c>
      <c r="H216" s="18" t="s">
        <v>362</v>
      </c>
    </row>
    <row r="217">
      <c r="G217" s="4" t="s">
        <v>362</v>
      </c>
      <c r="H217" s="18" t="s">
        <v>362</v>
      </c>
    </row>
    <row r="218">
      <c r="G218" s="4" t="s">
        <v>362</v>
      </c>
      <c r="H218" s="18" t="s">
        <v>362</v>
      </c>
    </row>
    <row r="219">
      <c r="G219" s="4" t="s">
        <v>362</v>
      </c>
      <c r="H219" s="18" t="s">
        <v>362</v>
      </c>
    </row>
    <row r="220">
      <c r="G220" s="4" t="s">
        <v>362</v>
      </c>
      <c r="H220" s="18" t="s">
        <v>362</v>
      </c>
    </row>
    <row r="221">
      <c r="G221" s="4" t="s">
        <v>362</v>
      </c>
      <c r="H221" s="18" t="s">
        <v>362</v>
      </c>
    </row>
    <row r="222">
      <c r="G222" s="4" t="s">
        <v>362</v>
      </c>
      <c r="H222" s="18" t="s">
        <v>362</v>
      </c>
    </row>
    <row r="223">
      <c r="G223" s="4" t="s">
        <v>362</v>
      </c>
      <c r="H223" s="18" t="s">
        <v>362</v>
      </c>
    </row>
    <row r="224">
      <c r="G224" s="4" t="s">
        <v>362</v>
      </c>
      <c r="H224" s="18" t="s">
        <v>362</v>
      </c>
    </row>
    <row r="225">
      <c r="G225" s="4" t="s">
        <v>362</v>
      </c>
      <c r="H225" s="18" t="s">
        <v>362</v>
      </c>
    </row>
    <row r="226">
      <c r="G226" s="4" t="s">
        <v>362</v>
      </c>
      <c r="H226" s="18" t="s">
        <v>362</v>
      </c>
    </row>
    <row r="227">
      <c r="G227" s="4" t="s">
        <v>362</v>
      </c>
      <c r="H227" s="18" t="s">
        <v>362</v>
      </c>
    </row>
    <row r="228">
      <c r="G228" s="4" t="s">
        <v>362</v>
      </c>
      <c r="H228" s="18" t="s">
        <v>362</v>
      </c>
    </row>
    <row r="229">
      <c r="G229" s="4" t="s">
        <v>362</v>
      </c>
      <c r="H229" s="18" t="s">
        <v>362</v>
      </c>
    </row>
    <row r="230">
      <c r="G230" s="4" t="s">
        <v>362</v>
      </c>
      <c r="H230" s="18" t="s">
        <v>362</v>
      </c>
    </row>
    <row r="231">
      <c r="G231" s="4" t="s">
        <v>362</v>
      </c>
      <c r="H231" s="18" t="s">
        <v>362</v>
      </c>
    </row>
    <row r="232">
      <c r="G232" s="4" t="s">
        <v>362</v>
      </c>
      <c r="H232" s="18" t="s">
        <v>362</v>
      </c>
    </row>
    <row r="233">
      <c r="G233" s="4" t="s">
        <v>362</v>
      </c>
      <c r="H233" s="18" t="s">
        <v>362</v>
      </c>
    </row>
    <row r="234">
      <c r="G234" s="4" t="s">
        <v>362</v>
      </c>
      <c r="H234" s="18" t="s">
        <v>362</v>
      </c>
    </row>
    <row r="235">
      <c r="G235" s="4" t="s">
        <v>362</v>
      </c>
      <c r="H235" s="18" t="s">
        <v>362</v>
      </c>
    </row>
    <row r="236">
      <c r="G236" s="4" t="s">
        <v>362</v>
      </c>
      <c r="H236" s="18" t="s">
        <v>362</v>
      </c>
    </row>
    <row r="237">
      <c r="G237" s="4" t="s">
        <v>362</v>
      </c>
      <c r="H237" s="18" t="s">
        <v>362</v>
      </c>
    </row>
    <row r="238">
      <c r="G238" s="4" t="s">
        <v>362</v>
      </c>
      <c r="H238" s="18" t="s">
        <v>362</v>
      </c>
    </row>
    <row r="239">
      <c r="G239" s="4" t="s">
        <v>362</v>
      </c>
      <c r="H239" s="18" t="s">
        <v>362</v>
      </c>
    </row>
    <row r="240">
      <c r="G240" s="4" t="s">
        <v>362</v>
      </c>
      <c r="H240" s="18" t="s">
        <v>362</v>
      </c>
    </row>
    <row r="241">
      <c r="G241" s="4" t="s">
        <v>362</v>
      </c>
      <c r="H241" s="18" t="s">
        <v>362</v>
      </c>
    </row>
    <row r="242">
      <c r="G242" s="4" t="s">
        <v>362</v>
      </c>
      <c r="H242" s="18" t="s">
        <v>362</v>
      </c>
    </row>
    <row r="243">
      <c r="G243" s="4" t="s">
        <v>362</v>
      </c>
      <c r="H243" s="18" t="s">
        <v>362</v>
      </c>
    </row>
    <row r="244">
      <c r="G244" s="4" t="s">
        <v>362</v>
      </c>
      <c r="H244" s="18" t="s">
        <v>362</v>
      </c>
    </row>
    <row r="245">
      <c r="G245" s="4" t="s">
        <v>362</v>
      </c>
      <c r="H245" s="18" t="s">
        <v>362</v>
      </c>
    </row>
    <row r="246">
      <c r="G246" s="4" t="s">
        <v>362</v>
      </c>
      <c r="H246" s="18" t="s">
        <v>362</v>
      </c>
    </row>
    <row r="247">
      <c r="G247" s="4" t="s">
        <v>362</v>
      </c>
      <c r="H247" s="18" t="s">
        <v>362</v>
      </c>
    </row>
    <row r="248">
      <c r="G248" s="4" t="s">
        <v>362</v>
      </c>
      <c r="H248" s="18" t="s">
        <v>362</v>
      </c>
    </row>
    <row r="249">
      <c r="G249" s="4" t="s">
        <v>362</v>
      </c>
      <c r="H249" s="18" t="s">
        <v>362</v>
      </c>
    </row>
    <row r="250">
      <c r="G250" s="4" t="s">
        <v>362</v>
      </c>
      <c r="H250" s="18" t="s">
        <v>362</v>
      </c>
    </row>
    <row r="251">
      <c r="G251" s="4" t="s">
        <v>362</v>
      </c>
      <c r="H251" s="18" t="s">
        <v>362</v>
      </c>
    </row>
    <row r="252">
      <c r="G252" s="4" t="s">
        <v>362</v>
      </c>
      <c r="H252" s="18" t="s">
        <v>362</v>
      </c>
    </row>
    <row r="253">
      <c r="G253" s="4" t="s">
        <v>362</v>
      </c>
      <c r="H253" s="18" t="s">
        <v>362</v>
      </c>
    </row>
    <row r="254">
      <c r="G254" s="4" t="s">
        <v>362</v>
      </c>
      <c r="H254" s="18" t="s">
        <v>362</v>
      </c>
    </row>
    <row r="255">
      <c r="G255" s="4" t="s">
        <v>362</v>
      </c>
      <c r="H255" s="18" t="s">
        <v>362</v>
      </c>
    </row>
    <row r="256">
      <c r="G256" s="4" t="s">
        <v>362</v>
      </c>
      <c r="H256" s="18" t="s">
        <v>362</v>
      </c>
    </row>
    <row r="257">
      <c r="G257" s="4" t="s">
        <v>362</v>
      </c>
      <c r="H257" s="18" t="s">
        <v>362</v>
      </c>
    </row>
    <row r="258">
      <c r="G258" s="4" t="s">
        <v>362</v>
      </c>
      <c r="H258" s="18" t="s">
        <v>362</v>
      </c>
    </row>
    <row r="259">
      <c r="G259" s="4" t="s">
        <v>362</v>
      </c>
      <c r="H259" s="18" t="s">
        <v>362</v>
      </c>
    </row>
    <row r="260">
      <c r="G260" s="4" t="s">
        <v>362</v>
      </c>
      <c r="H260" s="18" t="s">
        <v>362</v>
      </c>
    </row>
    <row r="261">
      <c r="G261" s="4" t="s">
        <v>362</v>
      </c>
      <c r="H261" s="18" t="s">
        <v>362</v>
      </c>
    </row>
    <row r="262">
      <c r="G262" s="4" t="s">
        <v>362</v>
      </c>
      <c r="H262" s="18" t="s">
        <v>362</v>
      </c>
    </row>
    <row r="263">
      <c r="G263" s="4" t="s">
        <v>362</v>
      </c>
      <c r="H263" s="18" t="s">
        <v>362</v>
      </c>
    </row>
    <row r="264">
      <c r="G264" s="4" t="s">
        <v>362</v>
      </c>
      <c r="H264" s="18" t="s">
        <v>362</v>
      </c>
    </row>
    <row r="265">
      <c r="G265" s="4" t="s">
        <v>362</v>
      </c>
      <c r="H265" s="18" t="s">
        <v>362</v>
      </c>
    </row>
    <row r="266">
      <c r="G266" s="4" t="s">
        <v>362</v>
      </c>
      <c r="H266" s="18" t="s">
        <v>362</v>
      </c>
    </row>
    <row r="267">
      <c r="G267" s="4" t="s">
        <v>362</v>
      </c>
      <c r="H267" s="18" t="s">
        <v>362</v>
      </c>
    </row>
    <row r="268">
      <c r="G268" s="4" t="s">
        <v>362</v>
      </c>
      <c r="H268" s="18" t="s">
        <v>362</v>
      </c>
    </row>
    <row r="269">
      <c r="G269" s="4" t="s">
        <v>362</v>
      </c>
      <c r="H269" s="18" t="s">
        <v>362</v>
      </c>
    </row>
    <row r="270">
      <c r="G270" s="4" t="s">
        <v>362</v>
      </c>
      <c r="H270" s="18" t="s">
        <v>362</v>
      </c>
    </row>
    <row r="271">
      <c r="G271" s="4" t="s">
        <v>362</v>
      </c>
      <c r="H271" s="18" t="s">
        <v>362</v>
      </c>
    </row>
    <row r="272">
      <c r="G272" s="4" t="s">
        <v>362</v>
      </c>
      <c r="H272" s="18" t="s">
        <v>362</v>
      </c>
    </row>
    <row r="273">
      <c r="G273" s="4" t="s">
        <v>362</v>
      </c>
      <c r="H273" s="18" t="s">
        <v>362</v>
      </c>
    </row>
    <row r="274">
      <c r="G274" s="4" t="s">
        <v>362</v>
      </c>
      <c r="H274" s="18" t="s">
        <v>362</v>
      </c>
    </row>
    <row r="275">
      <c r="G275" s="4" t="s">
        <v>362</v>
      </c>
      <c r="H275" s="18" t="s">
        <v>362</v>
      </c>
    </row>
    <row r="276">
      <c r="G276" s="4" t="s">
        <v>362</v>
      </c>
      <c r="H276" s="18" t="s">
        <v>362</v>
      </c>
    </row>
    <row r="277">
      <c r="G277" s="4" t="s">
        <v>362</v>
      </c>
      <c r="H277" s="18" t="s">
        <v>362</v>
      </c>
    </row>
    <row r="278">
      <c r="G278" s="4" t="s">
        <v>362</v>
      </c>
      <c r="H278" s="18" t="s">
        <v>362</v>
      </c>
    </row>
    <row r="279">
      <c r="G279" s="4" t="s">
        <v>362</v>
      </c>
      <c r="H279" s="18" t="s">
        <v>362</v>
      </c>
    </row>
    <row r="280">
      <c r="G280" s="4" t="s">
        <v>362</v>
      </c>
      <c r="H280" s="18" t="s">
        <v>362</v>
      </c>
    </row>
    <row r="281">
      <c r="G281" s="4" t="s">
        <v>362</v>
      </c>
      <c r="H281" s="18" t="s">
        <v>362</v>
      </c>
    </row>
    <row r="282">
      <c r="G282" s="4" t="s">
        <v>362</v>
      </c>
      <c r="H282" s="18" t="s">
        <v>362</v>
      </c>
    </row>
    <row r="283">
      <c r="G283" s="4" t="s">
        <v>362</v>
      </c>
      <c r="H283" s="18" t="s">
        <v>362</v>
      </c>
    </row>
    <row r="284">
      <c r="G284" s="4" t="s">
        <v>362</v>
      </c>
      <c r="H284" s="18" t="s">
        <v>362</v>
      </c>
    </row>
    <row r="285">
      <c r="G285" s="4" t="s">
        <v>362</v>
      </c>
      <c r="H285" s="18" t="s">
        <v>362</v>
      </c>
    </row>
    <row r="286">
      <c r="G286" s="4" t="s">
        <v>362</v>
      </c>
      <c r="H286" s="18" t="s">
        <v>362</v>
      </c>
    </row>
    <row r="287">
      <c r="G287" s="4" t="s">
        <v>362</v>
      </c>
      <c r="H287" s="18" t="s">
        <v>362</v>
      </c>
    </row>
    <row r="288">
      <c r="G288" s="4" t="s">
        <v>362</v>
      </c>
      <c r="H288" s="18" t="s">
        <v>362</v>
      </c>
    </row>
    <row r="289">
      <c r="G289" s="4" t="s">
        <v>362</v>
      </c>
      <c r="H289" s="18" t="s">
        <v>362</v>
      </c>
    </row>
    <row r="290">
      <c r="G290" s="4" t="s">
        <v>362</v>
      </c>
      <c r="H290" s="18" t="s">
        <v>362</v>
      </c>
    </row>
    <row r="291">
      <c r="G291" s="4" t="s">
        <v>362</v>
      </c>
      <c r="H291" s="18" t="s">
        <v>362</v>
      </c>
    </row>
    <row r="292">
      <c r="G292" s="4" t="s">
        <v>362</v>
      </c>
      <c r="H292" s="18" t="s">
        <v>362</v>
      </c>
    </row>
    <row r="293">
      <c r="G293" s="4" t="s">
        <v>362</v>
      </c>
      <c r="H293" s="18" t="s">
        <v>362</v>
      </c>
    </row>
    <row r="294">
      <c r="G294" s="4" t="s">
        <v>362</v>
      </c>
      <c r="H294" s="18" t="s">
        <v>362</v>
      </c>
    </row>
    <row r="295">
      <c r="G295" s="4" t="s">
        <v>362</v>
      </c>
      <c r="H295" s="18" t="s">
        <v>362</v>
      </c>
    </row>
    <row r="296">
      <c r="G296" s="4" t="s">
        <v>362</v>
      </c>
      <c r="H296" s="18" t="s">
        <v>362</v>
      </c>
    </row>
    <row r="297">
      <c r="G297" s="4" t="s">
        <v>362</v>
      </c>
      <c r="H297" s="18" t="s">
        <v>362</v>
      </c>
    </row>
    <row r="298">
      <c r="G298" s="4" t="s">
        <v>362</v>
      </c>
      <c r="H298" s="18" t="s">
        <v>362</v>
      </c>
    </row>
    <row r="299">
      <c r="G299" s="4" t="s">
        <v>362</v>
      </c>
      <c r="H299" s="18" t="s">
        <v>362</v>
      </c>
    </row>
    <row r="300">
      <c r="G300" s="4" t="s">
        <v>362</v>
      </c>
      <c r="H300" s="18" t="s">
        <v>362</v>
      </c>
    </row>
    <row r="301">
      <c r="G301" s="4" t="s">
        <v>362</v>
      </c>
      <c r="H301" s="18" t="s">
        <v>362</v>
      </c>
    </row>
    <row r="302">
      <c r="G302" s="4" t="s">
        <v>362</v>
      </c>
      <c r="H302" s="18" t="s">
        <v>362</v>
      </c>
    </row>
    <row r="303">
      <c r="G303" s="4" t="s">
        <v>362</v>
      </c>
      <c r="H303" s="18" t="s">
        <v>362</v>
      </c>
    </row>
    <row r="304">
      <c r="G304" s="4" t="s">
        <v>362</v>
      </c>
      <c r="H304" s="18" t="s">
        <v>362</v>
      </c>
    </row>
    <row r="305">
      <c r="G305" s="4" t="s">
        <v>362</v>
      </c>
      <c r="H305" s="18" t="s">
        <v>362</v>
      </c>
    </row>
    <row r="306">
      <c r="G306" s="4" t="s">
        <v>362</v>
      </c>
      <c r="H306" s="18" t="s">
        <v>362</v>
      </c>
    </row>
    <row r="307">
      <c r="G307" s="4" t="s">
        <v>362</v>
      </c>
      <c r="H307" s="18" t="s">
        <v>362</v>
      </c>
    </row>
    <row r="308">
      <c r="G308" s="4" t="s">
        <v>362</v>
      </c>
      <c r="H308" s="18" t="s">
        <v>362</v>
      </c>
    </row>
    <row r="309">
      <c r="G309" s="4" t="s">
        <v>362</v>
      </c>
      <c r="H309" s="18" t="s">
        <v>362</v>
      </c>
    </row>
    <row r="310">
      <c r="G310" s="4" t="s">
        <v>362</v>
      </c>
      <c r="H310" s="18" t="s">
        <v>362</v>
      </c>
    </row>
    <row r="311">
      <c r="G311" s="4" t="s">
        <v>362</v>
      </c>
      <c r="H311" s="18" t="s">
        <v>362</v>
      </c>
    </row>
    <row r="312">
      <c r="G312" s="4" t="s">
        <v>362</v>
      </c>
      <c r="H312" s="18" t="s">
        <v>362</v>
      </c>
    </row>
    <row r="313">
      <c r="G313" s="4" t="s">
        <v>362</v>
      </c>
      <c r="H313" s="18" t="s">
        <v>362</v>
      </c>
    </row>
    <row r="314">
      <c r="G314" s="4" t="s">
        <v>362</v>
      </c>
      <c r="H314" s="18" t="s">
        <v>362</v>
      </c>
    </row>
    <row r="315">
      <c r="G315" s="4" t="s">
        <v>362</v>
      </c>
      <c r="H315" s="18" t="s">
        <v>362</v>
      </c>
    </row>
    <row r="316">
      <c r="G316" s="4" t="s">
        <v>362</v>
      </c>
      <c r="H316" s="18" t="s">
        <v>362</v>
      </c>
    </row>
    <row r="317">
      <c r="G317" s="4" t="s">
        <v>362</v>
      </c>
      <c r="H317" s="18" t="s">
        <v>362</v>
      </c>
    </row>
    <row r="318">
      <c r="G318" s="4" t="s">
        <v>362</v>
      </c>
      <c r="H318" s="18" t="s">
        <v>362</v>
      </c>
    </row>
    <row r="319">
      <c r="G319" s="4" t="s">
        <v>362</v>
      </c>
      <c r="H319" s="18" t="s">
        <v>362</v>
      </c>
    </row>
    <row r="320">
      <c r="G320" s="4" t="s">
        <v>362</v>
      </c>
      <c r="H320" s="18" t="s">
        <v>362</v>
      </c>
    </row>
    <row r="321">
      <c r="G321" s="4" t="s">
        <v>362</v>
      </c>
      <c r="H321" s="18" t="s">
        <v>362</v>
      </c>
    </row>
    <row r="322">
      <c r="G322" s="4" t="s">
        <v>362</v>
      </c>
      <c r="H322" s="18" t="s">
        <v>362</v>
      </c>
    </row>
    <row r="323">
      <c r="G323" s="4" t="s">
        <v>362</v>
      </c>
      <c r="H323" s="18" t="s">
        <v>362</v>
      </c>
    </row>
    <row r="324">
      <c r="G324" s="4" t="s">
        <v>362</v>
      </c>
      <c r="H324" s="18" t="s">
        <v>362</v>
      </c>
    </row>
    <row r="325">
      <c r="G325" s="4" t="s">
        <v>362</v>
      </c>
      <c r="H325" s="18" t="s">
        <v>362</v>
      </c>
    </row>
    <row r="326">
      <c r="G326" s="4" t="s">
        <v>362</v>
      </c>
      <c r="H326" s="18" t="s">
        <v>362</v>
      </c>
    </row>
    <row r="327">
      <c r="G327" s="4" t="s">
        <v>362</v>
      </c>
      <c r="H327" s="18" t="s">
        <v>362</v>
      </c>
    </row>
    <row r="328">
      <c r="G328" s="4" t="s">
        <v>362</v>
      </c>
      <c r="H328" s="18" t="s">
        <v>362</v>
      </c>
    </row>
    <row r="329">
      <c r="G329" s="4" t="s">
        <v>362</v>
      </c>
      <c r="H329" s="18" t="s">
        <v>362</v>
      </c>
    </row>
    <row r="330">
      <c r="G330" s="4" t="s">
        <v>362</v>
      </c>
      <c r="H330" s="18" t="s">
        <v>362</v>
      </c>
    </row>
    <row r="331">
      <c r="G331" s="4" t="s">
        <v>362</v>
      </c>
      <c r="H331" s="18" t="s">
        <v>362</v>
      </c>
    </row>
    <row r="332">
      <c r="G332" s="4" t="s">
        <v>362</v>
      </c>
      <c r="H332" s="18" t="s">
        <v>362</v>
      </c>
    </row>
    <row r="333">
      <c r="G333" s="4" t="s">
        <v>362</v>
      </c>
      <c r="H333" s="18" t="s">
        <v>362</v>
      </c>
    </row>
    <row r="334">
      <c r="G334" s="4" t="s">
        <v>362</v>
      </c>
      <c r="H334" s="18" t="s">
        <v>362</v>
      </c>
    </row>
    <row r="335">
      <c r="G335" s="4" t="s">
        <v>362</v>
      </c>
      <c r="H335" s="18" t="s">
        <v>362</v>
      </c>
    </row>
    <row r="336">
      <c r="G336" s="4" t="s">
        <v>362</v>
      </c>
      <c r="H336" s="18" t="s">
        <v>362</v>
      </c>
    </row>
    <row r="337">
      <c r="G337" s="4" t="s">
        <v>362</v>
      </c>
      <c r="H337" s="18" t="s">
        <v>362</v>
      </c>
    </row>
    <row r="338">
      <c r="G338" s="4" t="s">
        <v>362</v>
      </c>
      <c r="H338" s="18" t="s">
        <v>362</v>
      </c>
    </row>
    <row r="339">
      <c r="G339" s="4" t="s">
        <v>362</v>
      </c>
      <c r="H339" s="18" t="s">
        <v>362</v>
      </c>
    </row>
    <row r="340">
      <c r="G340" s="4" t="s">
        <v>362</v>
      </c>
      <c r="H340" s="18" t="s">
        <v>362</v>
      </c>
    </row>
    <row r="341">
      <c r="G341" s="4" t="s">
        <v>362</v>
      </c>
      <c r="H341" s="18" t="s">
        <v>362</v>
      </c>
    </row>
    <row r="342">
      <c r="G342" s="4" t="s">
        <v>362</v>
      </c>
      <c r="H342" s="18" t="s">
        <v>362</v>
      </c>
    </row>
    <row r="343">
      <c r="G343" s="4" t="s">
        <v>362</v>
      </c>
      <c r="H343" s="18" t="s">
        <v>362</v>
      </c>
    </row>
    <row r="344">
      <c r="G344" s="4" t="s">
        <v>362</v>
      </c>
      <c r="H344" s="18" t="s">
        <v>362</v>
      </c>
    </row>
    <row r="345">
      <c r="G345" s="4" t="s">
        <v>362</v>
      </c>
      <c r="H345" s="18" t="s">
        <v>362</v>
      </c>
    </row>
    <row r="346">
      <c r="G346" s="4" t="s">
        <v>362</v>
      </c>
      <c r="H346" s="18" t="s">
        <v>362</v>
      </c>
    </row>
    <row r="347">
      <c r="G347" s="4" t="s">
        <v>362</v>
      </c>
      <c r="H347" s="18" t="s">
        <v>362</v>
      </c>
    </row>
    <row r="348">
      <c r="G348" s="4" t="s">
        <v>362</v>
      </c>
      <c r="H348" s="18" t="s">
        <v>362</v>
      </c>
    </row>
    <row r="349">
      <c r="G349" s="4" t="s">
        <v>362</v>
      </c>
      <c r="H349" s="18" t="s">
        <v>362</v>
      </c>
    </row>
    <row r="350">
      <c r="G350" s="4" t="s">
        <v>362</v>
      </c>
      <c r="H350" s="18" t="s">
        <v>362</v>
      </c>
    </row>
    <row r="351">
      <c r="G351" s="4" t="s">
        <v>362</v>
      </c>
      <c r="H351" s="18" t="s">
        <v>362</v>
      </c>
    </row>
    <row r="352">
      <c r="G352" s="4" t="s">
        <v>362</v>
      </c>
      <c r="H352" s="18" t="s">
        <v>362</v>
      </c>
    </row>
    <row r="353">
      <c r="G353" s="4" t="s">
        <v>362</v>
      </c>
      <c r="H353" s="18" t="s">
        <v>362</v>
      </c>
    </row>
    <row r="354">
      <c r="G354" s="4" t="s">
        <v>362</v>
      </c>
      <c r="H354" s="18" t="s">
        <v>362</v>
      </c>
    </row>
    <row r="355">
      <c r="G355" s="4" t="s">
        <v>362</v>
      </c>
      <c r="H355" s="18" t="s">
        <v>362</v>
      </c>
    </row>
    <row r="356">
      <c r="G356" s="4" t="s">
        <v>362</v>
      </c>
      <c r="H356" s="18" t="s">
        <v>362</v>
      </c>
    </row>
    <row r="357">
      <c r="G357" s="4" t="s">
        <v>362</v>
      </c>
      <c r="H357" s="18" t="s">
        <v>362</v>
      </c>
    </row>
    <row r="358">
      <c r="G358" s="4" t="s">
        <v>362</v>
      </c>
      <c r="H358" s="18" t="s">
        <v>362</v>
      </c>
    </row>
    <row r="359">
      <c r="G359" s="4" t="s">
        <v>362</v>
      </c>
      <c r="H359" s="18" t="s">
        <v>362</v>
      </c>
    </row>
    <row r="360">
      <c r="G360" s="4" t="s">
        <v>362</v>
      </c>
      <c r="H360" s="18" t="s">
        <v>362</v>
      </c>
    </row>
    <row r="361">
      <c r="G361" s="4" t="s">
        <v>362</v>
      </c>
      <c r="H361" s="18" t="s">
        <v>362</v>
      </c>
    </row>
    <row r="362">
      <c r="G362" s="4" t="s">
        <v>362</v>
      </c>
      <c r="H362" s="18" t="s">
        <v>362</v>
      </c>
    </row>
    <row r="363">
      <c r="G363" s="4" t="s">
        <v>362</v>
      </c>
      <c r="H363" s="18" t="s">
        <v>362</v>
      </c>
    </row>
    <row r="364">
      <c r="G364" s="4" t="s">
        <v>362</v>
      </c>
      <c r="H364" s="18" t="s">
        <v>362</v>
      </c>
    </row>
    <row r="365">
      <c r="G365" s="4" t="s">
        <v>362</v>
      </c>
      <c r="H365" s="18" t="s">
        <v>362</v>
      </c>
    </row>
    <row r="366">
      <c r="G366" s="4" t="s">
        <v>362</v>
      </c>
      <c r="H366" s="18" t="s">
        <v>362</v>
      </c>
    </row>
    <row r="367">
      <c r="G367" s="4" t="s">
        <v>362</v>
      </c>
      <c r="H367" s="18" t="s">
        <v>362</v>
      </c>
    </row>
    <row r="368">
      <c r="G368" s="4" t="s">
        <v>362</v>
      </c>
      <c r="H368" s="18" t="s">
        <v>362</v>
      </c>
    </row>
    <row r="369">
      <c r="G369" s="4" t="s">
        <v>362</v>
      </c>
      <c r="H369" s="18" t="s">
        <v>362</v>
      </c>
    </row>
    <row r="370">
      <c r="G370" s="4" t="s">
        <v>362</v>
      </c>
      <c r="H370" s="18" t="s">
        <v>362</v>
      </c>
    </row>
    <row r="371">
      <c r="G371" s="4" t="s">
        <v>362</v>
      </c>
      <c r="H371" s="18" t="s">
        <v>362</v>
      </c>
    </row>
    <row r="372">
      <c r="G372" s="4" t="s">
        <v>362</v>
      </c>
      <c r="H372" s="18" t="s">
        <v>362</v>
      </c>
    </row>
    <row r="373">
      <c r="G373" s="4" t="s">
        <v>362</v>
      </c>
      <c r="H373" s="18" t="s">
        <v>362</v>
      </c>
    </row>
    <row r="374">
      <c r="G374" s="4" t="s">
        <v>362</v>
      </c>
      <c r="H374" s="18" t="s">
        <v>362</v>
      </c>
    </row>
    <row r="375">
      <c r="G375" s="4" t="s">
        <v>362</v>
      </c>
      <c r="H375" s="18" t="s">
        <v>362</v>
      </c>
    </row>
    <row r="376">
      <c r="G376" s="4" t="s">
        <v>362</v>
      </c>
      <c r="H376" s="18" t="s">
        <v>362</v>
      </c>
    </row>
    <row r="377">
      <c r="G377" s="4" t="s">
        <v>362</v>
      </c>
      <c r="H377" s="18" t="s">
        <v>362</v>
      </c>
    </row>
    <row r="378">
      <c r="G378" s="4" t="s">
        <v>362</v>
      </c>
      <c r="H378" s="18" t="s">
        <v>362</v>
      </c>
    </row>
    <row r="379">
      <c r="G379" s="4" t="s">
        <v>362</v>
      </c>
      <c r="H379" s="18" t="s">
        <v>362</v>
      </c>
    </row>
    <row r="380">
      <c r="G380" s="4" t="s">
        <v>362</v>
      </c>
      <c r="H380" s="18" t="s">
        <v>362</v>
      </c>
    </row>
    <row r="381">
      <c r="G381" s="4" t="s">
        <v>362</v>
      </c>
      <c r="H381" s="18" t="s">
        <v>362</v>
      </c>
    </row>
    <row r="382">
      <c r="G382" s="4" t="s">
        <v>362</v>
      </c>
      <c r="H382" s="18" t="s">
        <v>362</v>
      </c>
    </row>
    <row r="383">
      <c r="G383" s="4" t="s">
        <v>362</v>
      </c>
      <c r="H383" s="18" t="s">
        <v>362</v>
      </c>
    </row>
    <row r="384">
      <c r="G384" s="4" t="s">
        <v>362</v>
      </c>
      <c r="H384" s="18" t="s">
        <v>362</v>
      </c>
    </row>
    <row r="385">
      <c r="G385" s="4" t="s">
        <v>362</v>
      </c>
      <c r="H385" s="18" t="s">
        <v>362</v>
      </c>
    </row>
    <row r="386">
      <c r="G386" s="4" t="s">
        <v>362</v>
      </c>
      <c r="H386" s="18" t="s">
        <v>362</v>
      </c>
    </row>
    <row r="387">
      <c r="G387" s="4" t="s">
        <v>362</v>
      </c>
      <c r="H387" s="18" t="s">
        <v>362</v>
      </c>
    </row>
    <row r="388">
      <c r="G388" s="4" t="s">
        <v>362</v>
      </c>
      <c r="H388" s="18" t="s">
        <v>362</v>
      </c>
    </row>
    <row r="389">
      <c r="G389" s="4" t="s">
        <v>362</v>
      </c>
      <c r="H389" s="18" t="s">
        <v>362</v>
      </c>
    </row>
    <row r="390">
      <c r="G390" s="4" t="s">
        <v>362</v>
      </c>
      <c r="H390" s="18" t="s">
        <v>362</v>
      </c>
    </row>
    <row r="391">
      <c r="G391" s="4" t="s">
        <v>362</v>
      </c>
      <c r="H391" s="18" t="s">
        <v>362</v>
      </c>
    </row>
    <row r="392">
      <c r="G392" s="4" t="s">
        <v>362</v>
      </c>
      <c r="H392" s="18" t="s">
        <v>362</v>
      </c>
    </row>
    <row r="393">
      <c r="G393" s="4" t="s">
        <v>362</v>
      </c>
      <c r="H393" s="18" t="s">
        <v>362</v>
      </c>
    </row>
    <row r="394">
      <c r="G394" s="4" t="s">
        <v>362</v>
      </c>
      <c r="H394" s="18" t="s">
        <v>362</v>
      </c>
    </row>
    <row r="395">
      <c r="G395" s="4" t="s">
        <v>362</v>
      </c>
      <c r="H395" s="18" t="s">
        <v>362</v>
      </c>
    </row>
    <row r="396">
      <c r="G396" s="4" t="s">
        <v>362</v>
      </c>
      <c r="H396" s="18" t="s">
        <v>362</v>
      </c>
    </row>
    <row r="397">
      <c r="G397" s="4" t="s">
        <v>362</v>
      </c>
      <c r="H397" s="18" t="s">
        <v>362</v>
      </c>
    </row>
    <row r="398">
      <c r="G398" s="4" t="s">
        <v>362</v>
      </c>
      <c r="H398" s="18" t="s">
        <v>362</v>
      </c>
    </row>
    <row r="399">
      <c r="G399" s="4" t="s">
        <v>362</v>
      </c>
      <c r="H399" s="18" t="s">
        <v>362</v>
      </c>
    </row>
    <row r="400">
      <c r="G400" s="4" t="s">
        <v>362</v>
      </c>
      <c r="H400" s="18" t="s">
        <v>362</v>
      </c>
    </row>
    <row r="401">
      <c r="G401" s="4" t="s">
        <v>362</v>
      </c>
      <c r="H401" s="18" t="s">
        <v>362</v>
      </c>
    </row>
    <row r="402">
      <c r="G402" s="4" t="s">
        <v>362</v>
      </c>
      <c r="H402" s="18" t="s">
        <v>362</v>
      </c>
    </row>
    <row r="403">
      <c r="G403" s="4" t="s">
        <v>362</v>
      </c>
      <c r="H403" s="18" t="s">
        <v>362</v>
      </c>
    </row>
    <row r="404">
      <c r="G404" s="4" t="s">
        <v>362</v>
      </c>
      <c r="H404" s="18" t="s">
        <v>362</v>
      </c>
    </row>
    <row r="405">
      <c r="G405" s="4" t="s">
        <v>362</v>
      </c>
      <c r="H405" s="18" t="s">
        <v>362</v>
      </c>
    </row>
    <row r="406">
      <c r="G406" s="4" t="s">
        <v>362</v>
      </c>
      <c r="H406" s="18" t="s">
        <v>362</v>
      </c>
    </row>
    <row r="407">
      <c r="G407" s="4" t="s">
        <v>362</v>
      </c>
      <c r="H407" s="18" t="s">
        <v>362</v>
      </c>
    </row>
    <row r="408">
      <c r="G408" s="4" t="s">
        <v>362</v>
      </c>
      <c r="H408" s="18" t="s">
        <v>362</v>
      </c>
    </row>
    <row r="409">
      <c r="G409" s="4" t="s">
        <v>362</v>
      </c>
      <c r="H409" s="18" t="s">
        <v>362</v>
      </c>
    </row>
    <row r="410">
      <c r="G410" s="4" t="s">
        <v>362</v>
      </c>
      <c r="H410" s="18" t="s">
        <v>362</v>
      </c>
    </row>
    <row r="411">
      <c r="G411" s="4" t="s">
        <v>362</v>
      </c>
      <c r="H411" s="18" t="s">
        <v>362</v>
      </c>
    </row>
    <row r="412">
      <c r="G412" s="4" t="s">
        <v>362</v>
      </c>
      <c r="H412" s="18" t="s">
        <v>362</v>
      </c>
    </row>
    <row r="413">
      <c r="G413" s="4" t="s">
        <v>362</v>
      </c>
      <c r="H413" s="18" t="s">
        <v>362</v>
      </c>
    </row>
    <row r="414">
      <c r="G414" s="4" t="s">
        <v>362</v>
      </c>
      <c r="H414" s="18" t="s">
        <v>362</v>
      </c>
    </row>
    <row r="415">
      <c r="G415" s="4" t="s">
        <v>362</v>
      </c>
      <c r="H415" s="18" t="s">
        <v>362</v>
      </c>
    </row>
    <row r="416">
      <c r="G416" s="4" t="s">
        <v>362</v>
      </c>
      <c r="H416" s="18" t="s">
        <v>362</v>
      </c>
    </row>
    <row r="417">
      <c r="G417" s="4" t="s">
        <v>362</v>
      </c>
      <c r="H417" s="18" t="s">
        <v>362</v>
      </c>
    </row>
    <row r="418">
      <c r="G418" s="4" t="s">
        <v>362</v>
      </c>
      <c r="H418" s="18" t="s">
        <v>362</v>
      </c>
    </row>
    <row r="419">
      <c r="G419" s="4" t="s">
        <v>362</v>
      </c>
      <c r="H419" s="18" t="s">
        <v>362</v>
      </c>
    </row>
    <row r="420">
      <c r="G420" s="4" t="s">
        <v>362</v>
      </c>
      <c r="H420" s="18" t="s">
        <v>362</v>
      </c>
    </row>
    <row r="421">
      <c r="G421" s="4" t="s">
        <v>362</v>
      </c>
      <c r="H421" s="18" t="s">
        <v>362</v>
      </c>
    </row>
    <row r="422">
      <c r="G422" s="4" t="s">
        <v>362</v>
      </c>
      <c r="H422" s="18" t="s">
        <v>362</v>
      </c>
    </row>
    <row r="423">
      <c r="G423" s="4" t="s">
        <v>362</v>
      </c>
      <c r="H423" s="18" t="s">
        <v>362</v>
      </c>
    </row>
    <row r="424">
      <c r="G424" s="4" t="s">
        <v>362</v>
      </c>
      <c r="H424" s="18" t="s">
        <v>362</v>
      </c>
    </row>
    <row r="425">
      <c r="G425" s="4" t="s">
        <v>362</v>
      </c>
      <c r="H425" s="18" t="s">
        <v>362</v>
      </c>
    </row>
    <row r="426">
      <c r="G426" s="4" t="s">
        <v>362</v>
      </c>
      <c r="H426" s="18" t="s">
        <v>362</v>
      </c>
    </row>
    <row r="427">
      <c r="G427" s="4" t="s">
        <v>362</v>
      </c>
      <c r="H427" s="18" t="s">
        <v>362</v>
      </c>
    </row>
    <row r="428">
      <c r="G428" s="4" t="s">
        <v>362</v>
      </c>
      <c r="H428" s="18" t="s">
        <v>362</v>
      </c>
    </row>
    <row r="429">
      <c r="G429" s="4" t="s">
        <v>362</v>
      </c>
      <c r="H429" s="18" t="s">
        <v>362</v>
      </c>
    </row>
    <row r="430">
      <c r="G430" s="4" t="s">
        <v>362</v>
      </c>
      <c r="H430" s="18" t="s">
        <v>362</v>
      </c>
    </row>
    <row r="431">
      <c r="G431" s="4" t="s">
        <v>362</v>
      </c>
      <c r="H431" s="18" t="s">
        <v>362</v>
      </c>
    </row>
    <row r="432">
      <c r="G432" s="4" t="s">
        <v>362</v>
      </c>
      <c r="H432" s="18" t="s">
        <v>362</v>
      </c>
    </row>
    <row r="433">
      <c r="G433" s="4" t="s">
        <v>362</v>
      </c>
      <c r="H433" s="18" t="s">
        <v>362</v>
      </c>
    </row>
    <row r="434">
      <c r="G434" s="4" t="s">
        <v>362</v>
      </c>
      <c r="H434" s="18" t="s">
        <v>362</v>
      </c>
    </row>
    <row r="435">
      <c r="G435" s="4" t="s">
        <v>362</v>
      </c>
      <c r="H435" s="18" t="s">
        <v>362</v>
      </c>
    </row>
    <row r="436">
      <c r="G436" s="4" t="s">
        <v>362</v>
      </c>
      <c r="H436" s="18" t="s">
        <v>362</v>
      </c>
    </row>
    <row r="437">
      <c r="G437" s="4" t="s">
        <v>362</v>
      </c>
      <c r="H437" s="18" t="s">
        <v>362</v>
      </c>
    </row>
    <row r="438">
      <c r="G438" s="4" t="s">
        <v>362</v>
      </c>
      <c r="H438" s="18" t="s">
        <v>362</v>
      </c>
    </row>
    <row r="439">
      <c r="G439" s="4" t="s">
        <v>362</v>
      </c>
      <c r="H439" s="18" t="s">
        <v>362</v>
      </c>
    </row>
    <row r="440">
      <c r="G440" s="4" t="s">
        <v>362</v>
      </c>
      <c r="H440" s="18" t="s">
        <v>362</v>
      </c>
    </row>
    <row r="441">
      <c r="G441" s="4" t="s">
        <v>362</v>
      </c>
      <c r="H441" s="18" t="s">
        <v>362</v>
      </c>
    </row>
    <row r="442">
      <c r="G442" s="4" t="s">
        <v>362</v>
      </c>
      <c r="H442" s="18" t="s">
        <v>362</v>
      </c>
    </row>
    <row r="443">
      <c r="G443" s="4" t="s">
        <v>362</v>
      </c>
      <c r="H443" s="18" t="s">
        <v>362</v>
      </c>
    </row>
    <row r="444">
      <c r="G444" s="4" t="s">
        <v>362</v>
      </c>
      <c r="H444" s="18" t="s">
        <v>362</v>
      </c>
    </row>
    <row r="445">
      <c r="G445" s="4" t="s">
        <v>362</v>
      </c>
      <c r="H445" s="18" t="s">
        <v>362</v>
      </c>
    </row>
    <row r="446">
      <c r="G446" s="4" t="s">
        <v>362</v>
      </c>
      <c r="H446" s="18" t="s">
        <v>362</v>
      </c>
    </row>
    <row r="447">
      <c r="G447" s="4" t="s">
        <v>362</v>
      </c>
      <c r="H447" s="18" t="s">
        <v>362</v>
      </c>
    </row>
    <row r="448">
      <c r="G448" s="4" t="s">
        <v>362</v>
      </c>
      <c r="H448" s="18" t="s">
        <v>362</v>
      </c>
    </row>
    <row r="449">
      <c r="G449" s="4" t="s">
        <v>362</v>
      </c>
      <c r="H449" s="18" t="s">
        <v>362</v>
      </c>
    </row>
    <row r="450">
      <c r="G450" s="4" t="s">
        <v>362</v>
      </c>
      <c r="H450" s="18" t="s">
        <v>362</v>
      </c>
    </row>
    <row r="451">
      <c r="G451" s="4" t="s">
        <v>362</v>
      </c>
      <c r="H451" s="18" t="s">
        <v>362</v>
      </c>
    </row>
    <row r="452">
      <c r="G452" s="4" t="s">
        <v>362</v>
      </c>
      <c r="H452" s="18" t="s">
        <v>362</v>
      </c>
    </row>
    <row r="453">
      <c r="G453" s="4" t="s">
        <v>362</v>
      </c>
      <c r="H453" s="18" t="s">
        <v>362</v>
      </c>
    </row>
    <row r="454">
      <c r="G454" s="4" t="s">
        <v>362</v>
      </c>
      <c r="H454" s="18" t="s">
        <v>362</v>
      </c>
    </row>
    <row r="455">
      <c r="G455" s="4" t="s">
        <v>362</v>
      </c>
      <c r="H455" s="18" t="s">
        <v>362</v>
      </c>
    </row>
    <row r="456">
      <c r="G456" s="4" t="s">
        <v>362</v>
      </c>
      <c r="H456" s="18" t="s">
        <v>362</v>
      </c>
    </row>
    <row r="457">
      <c r="G457" s="4" t="s">
        <v>362</v>
      </c>
      <c r="H457" s="18" t="s">
        <v>362</v>
      </c>
    </row>
    <row r="458">
      <c r="G458" s="4" t="s">
        <v>362</v>
      </c>
      <c r="H458" s="18" t="s">
        <v>362</v>
      </c>
    </row>
    <row r="459">
      <c r="G459" s="4" t="s">
        <v>362</v>
      </c>
      <c r="H459" s="18" t="s">
        <v>362</v>
      </c>
    </row>
    <row r="460">
      <c r="G460" s="4" t="s">
        <v>362</v>
      </c>
      <c r="H460" s="18" t="s">
        <v>362</v>
      </c>
    </row>
    <row r="461">
      <c r="G461" s="4" t="s">
        <v>362</v>
      </c>
      <c r="H461" s="18" t="s">
        <v>362</v>
      </c>
    </row>
    <row r="462">
      <c r="G462" s="4" t="s">
        <v>362</v>
      </c>
      <c r="H462" s="18" t="s">
        <v>362</v>
      </c>
    </row>
    <row r="463">
      <c r="G463" s="4" t="s">
        <v>362</v>
      </c>
      <c r="H463" s="18" t="s">
        <v>362</v>
      </c>
    </row>
    <row r="464">
      <c r="G464" s="4" t="s">
        <v>362</v>
      </c>
      <c r="H464" s="18" t="s">
        <v>362</v>
      </c>
    </row>
    <row r="465">
      <c r="G465" s="4" t="s">
        <v>362</v>
      </c>
      <c r="H465" s="18" t="s">
        <v>362</v>
      </c>
    </row>
    <row r="466">
      <c r="G466" s="4" t="s">
        <v>362</v>
      </c>
      <c r="H466" s="18" t="s">
        <v>362</v>
      </c>
    </row>
    <row r="467">
      <c r="G467" s="4" t="s">
        <v>362</v>
      </c>
      <c r="H467" s="18" t="s">
        <v>362</v>
      </c>
    </row>
    <row r="468">
      <c r="G468" s="4" t="s">
        <v>362</v>
      </c>
      <c r="H468" s="18" t="s">
        <v>362</v>
      </c>
    </row>
    <row r="469">
      <c r="G469" s="4" t="s">
        <v>362</v>
      </c>
      <c r="H469" s="18" t="s">
        <v>362</v>
      </c>
    </row>
    <row r="470">
      <c r="G470" s="4" t="s">
        <v>362</v>
      </c>
      <c r="H470" s="18" t="s">
        <v>362</v>
      </c>
    </row>
    <row r="471">
      <c r="G471" s="4" t="s">
        <v>362</v>
      </c>
      <c r="H471" s="18" t="s">
        <v>362</v>
      </c>
    </row>
    <row r="472">
      <c r="G472" s="4" t="s">
        <v>362</v>
      </c>
      <c r="H472" s="18" t="s">
        <v>362</v>
      </c>
    </row>
    <row r="473">
      <c r="G473" s="4" t="s">
        <v>362</v>
      </c>
      <c r="H473" s="18" t="s">
        <v>362</v>
      </c>
    </row>
    <row r="474">
      <c r="G474" s="4" t="s">
        <v>362</v>
      </c>
      <c r="H474" s="18" t="s">
        <v>362</v>
      </c>
    </row>
    <row r="475">
      <c r="G475" s="4" t="s">
        <v>362</v>
      </c>
      <c r="H475" s="18" t="s">
        <v>362</v>
      </c>
    </row>
    <row r="476">
      <c r="G476" s="4" t="s">
        <v>362</v>
      </c>
      <c r="H476" s="18" t="s">
        <v>362</v>
      </c>
    </row>
    <row r="477">
      <c r="G477" s="4" t="s">
        <v>362</v>
      </c>
      <c r="H477" s="18" t="s">
        <v>362</v>
      </c>
    </row>
    <row r="478">
      <c r="G478" s="4" t="s">
        <v>362</v>
      </c>
      <c r="H478" s="18" t="s">
        <v>362</v>
      </c>
    </row>
    <row r="479">
      <c r="G479" s="4" t="s">
        <v>362</v>
      </c>
      <c r="H479" s="18" t="s">
        <v>362</v>
      </c>
    </row>
    <row r="480">
      <c r="G480" s="4" t="s">
        <v>362</v>
      </c>
      <c r="H480" s="18" t="s">
        <v>362</v>
      </c>
    </row>
    <row r="481">
      <c r="G481" s="4" t="s">
        <v>362</v>
      </c>
      <c r="H481" s="18" t="s">
        <v>362</v>
      </c>
    </row>
    <row r="482">
      <c r="G482" s="4" t="s">
        <v>362</v>
      </c>
      <c r="H482" s="18" t="s">
        <v>362</v>
      </c>
    </row>
    <row r="483">
      <c r="G483" s="4" t="s">
        <v>362</v>
      </c>
      <c r="H483" s="18" t="s">
        <v>362</v>
      </c>
    </row>
    <row r="484">
      <c r="G484" s="4" t="s">
        <v>362</v>
      </c>
      <c r="H484" s="18" t="s">
        <v>362</v>
      </c>
    </row>
    <row r="485">
      <c r="G485" s="4" t="s">
        <v>362</v>
      </c>
      <c r="H485" s="18" t="s">
        <v>362</v>
      </c>
    </row>
    <row r="486">
      <c r="G486" s="4" t="s">
        <v>362</v>
      </c>
      <c r="H486" s="18" t="s">
        <v>362</v>
      </c>
    </row>
    <row r="487">
      <c r="G487" s="4" t="s">
        <v>362</v>
      </c>
      <c r="H487" s="18" t="s">
        <v>362</v>
      </c>
    </row>
    <row r="488">
      <c r="G488" s="4" t="s">
        <v>362</v>
      </c>
      <c r="H488" s="18" t="s">
        <v>362</v>
      </c>
    </row>
    <row r="489">
      <c r="G489" s="4" t="s">
        <v>362</v>
      </c>
      <c r="H489" s="18" t="s">
        <v>362</v>
      </c>
    </row>
    <row r="490">
      <c r="G490" s="4" t="s">
        <v>362</v>
      </c>
      <c r="H490" s="18" t="s">
        <v>362</v>
      </c>
    </row>
    <row r="491">
      <c r="G491" s="4" t="s">
        <v>362</v>
      </c>
      <c r="H491" s="18" t="s">
        <v>362</v>
      </c>
    </row>
    <row r="492">
      <c r="G492" s="4" t="s">
        <v>362</v>
      </c>
      <c r="H492" s="18" t="s">
        <v>362</v>
      </c>
    </row>
    <row r="493">
      <c r="G493" s="4" t="s">
        <v>362</v>
      </c>
      <c r="H493" s="18" t="s">
        <v>362</v>
      </c>
    </row>
    <row r="494">
      <c r="G494" s="4" t="s">
        <v>362</v>
      </c>
      <c r="H494" s="18" t="s">
        <v>362</v>
      </c>
    </row>
    <row r="495">
      <c r="G495" s="4" t="s">
        <v>362</v>
      </c>
      <c r="H495" s="18" t="s">
        <v>362</v>
      </c>
    </row>
    <row r="496">
      <c r="G496" s="4" t="s">
        <v>362</v>
      </c>
      <c r="H496" s="18" t="s">
        <v>362</v>
      </c>
    </row>
    <row r="497">
      <c r="G497" s="4" t="s">
        <v>362</v>
      </c>
      <c r="H497" s="18" t="s">
        <v>362</v>
      </c>
    </row>
    <row r="498">
      <c r="G498" s="4" t="s">
        <v>362</v>
      </c>
      <c r="H498" s="18" t="s">
        <v>362</v>
      </c>
    </row>
    <row r="499">
      <c r="G499" s="4" t="s">
        <v>362</v>
      </c>
      <c r="H499" s="18" t="s">
        <v>362</v>
      </c>
    </row>
    <row r="500">
      <c r="G500" s="4" t="s">
        <v>362</v>
      </c>
      <c r="H500" s="18" t="s">
        <v>362</v>
      </c>
    </row>
    <row r="501">
      <c r="G501" s="4" t="s">
        <v>362</v>
      </c>
      <c r="H501" s="18" t="s">
        <v>362</v>
      </c>
    </row>
    <row r="502">
      <c r="G502" s="4" t="s">
        <v>362</v>
      </c>
      <c r="H502" s="18" t="s">
        <v>362</v>
      </c>
    </row>
    <row r="503">
      <c r="G503" s="4" t="s">
        <v>362</v>
      </c>
      <c r="H503" s="18" t="s">
        <v>362</v>
      </c>
    </row>
    <row r="504">
      <c r="G504" s="4" t="s">
        <v>362</v>
      </c>
      <c r="H504" s="18" t="s">
        <v>362</v>
      </c>
    </row>
    <row r="505">
      <c r="G505" s="4" t="s">
        <v>362</v>
      </c>
      <c r="H505" s="18" t="s">
        <v>362</v>
      </c>
    </row>
    <row r="506">
      <c r="G506" s="4" t="s">
        <v>362</v>
      </c>
      <c r="H506" s="18" t="s">
        <v>362</v>
      </c>
    </row>
    <row r="507">
      <c r="G507" s="4" t="s">
        <v>362</v>
      </c>
      <c r="H507" s="18" t="s">
        <v>362</v>
      </c>
    </row>
    <row r="508">
      <c r="G508" s="4" t="s">
        <v>362</v>
      </c>
      <c r="H508" s="18" t="s">
        <v>362</v>
      </c>
    </row>
    <row r="509">
      <c r="G509" s="4" t="s">
        <v>362</v>
      </c>
      <c r="H509" s="18" t="s">
        <v>362</v>
      </c>
    </row>
    <row r="510">
      <c r="G510" s="4" t="s">
        <v>362</v>
      </c>
      <c r="H510" s="18" t="s">
        <v>362</v>
      </c>
    </row>
    <row r="511">
      <c r="G511" s="4" t="s">
        <v>362</v>
      </c>
      <c r="H511" s="18" t="s">
        <v>362</v>
      </c>
    </row>
    <row r="512">
      <c r="G512" s="4" t="s">
        <v>362</v>
      </c>
      <c r="H512" s="18" t="s">
        <v>362</v>
      </c>
    </row>
    <row r="513">
      <c r="G513" s="4" t="s">
        <v>362</v>
      </c>
      <c r="H513" s="18" t="s">
        <v>362</v>
      </c>
    </row>
    <row r="514">
      <c r="G514" s="4" t="s">
        <v>362</v>
      </c>
      <c r="H514" s="18" t="s">
        <v>362</v>
      </c>
    </row>
    <row r="515">
      <c r="G515" s="4" t="s">
        <v>362</v>
      </c>
      <c r="H515" s="18" t="s">
        <v>362</v>
      </c>
    </row>
    <row r="516">
      <c r="G516" s="4" t="s">
        <v>362</v>
      </c>
      <c r="H516" s="18" t="s">
        <v>362</v>
      </c>
    </row>
    <row r="517">
      <c r="G517" s="4" t="s">
        <v>362</v>
      </c>
      <c r="H517" s="18" t="s">
        <v>362</v>
      </c>
    </row>
    <row r="518">
      <c r="G518" s="4" t="s">
        <v>362</v>
      </c>
      <c r="H518" s="18" t="s">
        <v>362</v>
      </c>
    </row>
    <row r="519">
      <c r="G519" s="4" t="s">
        <v>362</v>
      </c>
      <c r="H519" s="18" t="s">
        <v>362</v>
      </c>
    </row>
    <row r="520">
      <c r="G520" s="4" t="s">
        <v>362</v>
      </c>
      <c r="H520" s="18" t="s">
        <v>362</v>
      </c>
    </row>
    <row r="521">
      <c r="G521" s="4" t="s">
        <v>362</v>
      </c>
      <c r="H521" s="18" t="s">
        <v>362</v>
      </c>
    </row>
    <row r="522">
      <c r="G522" s="4" t="s">
        <v>362</v>
      </c>
      <c r="H522" s="18" t="s">
        <v>362</v>
      </c>
    </row>
    <row r="523">
      <c r="G523" s="4" t="s">
        <v>362</v>
      </c>
      <c r="H523" s="18" t="s">
        <v>362</v>
      </c>
    </row>
    <row r="524">
      <c r="G524" s="4" t="s">
        <v>362</v>
      </c>
      <c r="H524" s="18" t="s">
        <v>362</v>
      </c>
    </row>
    <row r="525">
      <c r="G525" s="4" t="s">
        <v>362</v>
      </c>
      <c r="H525" s="18" t="s">
        <v>362</v>
      </c>
    </row>
    <row r="526">
      <c r="G526" s="4" t="s">
        <v>362</v>
      </c>
      <c r="H526" s="18" t="s">
        <v>362</v>
      </c>
    </row>
    <row r="527">
      <c r="G527" s="4" t="s">
        <v>362</v>
      </c>
      <c r="H527" s="18" t="s">
        <v>362</v>
      </c>
    </row>
    <row r="528">
      <c r="G528" s="4" t="s">
        <v>362</v>
      </c>
      <c r="H528" s="18" t="s">
        <v>362</v>
      </c>
    </row>
    <row r="529">
      <c r="G529" s="4" t="s">
        <v>362</v>
      </c>
      <c r="H529" s="18" t="s">
        <v>362</v>
      </c>
    </row>
    <row r="530">
      <c r="G530" s="4" t="s">
        <v>362</v>
      </c>
      <c r="H530" s="18" t="s">
        <v>362</v>
      </c>
    </row>
    <row r="531">
      <c r="G531" s="4" t="s">
        <v>362</v>
      </c>
      <c r="H531" s="18" t="s">
        <v>362</v>
      </c>
    </row>
    <row r="532">
      <c r="G532" s="4" t="s">
        <v>362</v>
      </c>
      <c r="H532" s="18" t="s">
        <v>362</v>
      </c>
    </row>
    <row r="533">
      <c r="G533" s="4" t="s">
        <v>362</v>
      </c>
      <c r="H533" s="18" t="s">
        <v>362</v>
      </c>
    </row>
    <row r="534">
      <c r="G534" s="4" t="s">
        <v>362</v>
      </c>
      <c r="H534" s="18" t="s">
        <v>362</v>
      </c>
    </row>
    <row r="535">
      <c r="G535" s="4" t="s">
        <v>362</v>
      </c>
      <c r="H535" s="18" t="s">
        <v>362</v>
      </c>
    </row>
    <row r="536">
      <c r="G536" s="4" t="s">
        <v>362</v>
      </c>
      <c r="H536" s="18" t="s">
        <v>362</v>
      </c>
    </row>
    <row r="537">
      <c r="G537" s="4" t="s">
        <v>362</v>
      </c>
      <c r="H537" s="18" t="s">
        <v>362</v>
      </c>
    </row>
    <row r="538">
      <c r="G538" s="4" t="s">
        <v>362</v>
      </c>
      <c r="H538" s="18" t="s">
        <v>362</v>
      </c>
    </row>
    <row r="539">
      <c r="G539" s="4" t="s">
        <v>362</v>
      </c>
      <c r="H539" s="18" t="s">
        <v>362</v>
      </c>
    </row>
    <row r="540">
      <c r="G540" s="4" t="s">
        <v>362</v>
      </c>
      <c r="H540" s="18" t="s">
        <v>362</v>
      </c>
    </row>
    <row r="541">
      <c r="G541" s="4" t="s">
        <v>362</v>
      </c>
      <c r="H541" s="18" t="s">
        <v>362</v>
      </c>
    </row>
    <row r="542">
      <c r="G542" s="4" t="s">
        <v>362</v>
      </c>
      <c r="H542" s="18" t="s">
        <v>362</v>
      </c>
    </row>
    <row r="543">
      <c r="G543" s="4" t="s">
        <v>362</v>
      </c>
      <c r="H543" s="18" t="s">
        <v>362</v>
      </c>
    </row>
    <row r="544">
      <c r="G544" s="4" t="s">
        <v>362</v>
      </c>
      <c r="H544" s="18" t="s">
        <v>362</v>
      </c>
    </row>
    <row r="545">
      <c r="G545" s="4" t="s">
        <v>362</v>
      </c>
      <c r="H545" s="18" t="s">
        <v>362</v>
      </c>
    </row>
    <row r="546">
      <c r="G546" s="4" t="s">
        <v>362</v>
      </c>
      <c r="H546" s="18" t="s">
        <v>362</v>
      </c>
    </row>
    <row r="547">
      <c r="G547" s="4" t="s">
        <v>362</v>
      </c>
      <c r="H547" s="18" t="s">
        <v>362</v>
      </c>
    </row>
    <row r="548">
      <c r="G548" s="4" t="s">
        <v>362</v>
      </c>
      <c r="H548" s="18" t="s">
        <v>362</v>
      </c>
    </row>
    <row r="549">
      <c r="G549" s="4" t="s">
        <v>362</v>
      </c>
      <c r="H549" s="18" t="s">
        <v>362</v>
      </c>
    </row>
    <row r="550">
      <c r="G550" s="4" t="s">
        <v>362</v>
      </c>
      <c r="H550" s="18" t="s">
        <v>362</v>
      </c>
    </row>
    <row r="551">
      <c r="G551" s="4" t="s">
        <v>362</v>
      </c>
      <c r="H551" s="18" t="s">
        <v>362</v>
      </c>
    </row>
    <row r="552">
      <c r="G552" s="4" t="s">
        <v>362</v>
      </c>
      <c r="H552" s="18" t="s">
        <v>362</v>
      </c>
    </row>
    <row r="553">
      <c r="G553" s="4" t="s">
        <v>362</v>
      </c>
      <c r="H553" s="18" t="s">
        <v>362</v>
      </c>
    </row>
    <row r="554">
      <c r="G554" s="4" t="s">
        <v>362</v>
      </c>
      <c r="H554" s="18" t="s">
        <v>362</v>
      </c>
    </row>
    <row r="555">
      <c r="G555" s="4" t="s">
        <v>362</v>
      </c>
      <c r="H555" s="18" t="s">
        <v>362</v>
      </c>
    </row>
    <row r="556">
      <c r="G556" s="4" t="s">
        <v>362</v>
      </c>
      <c r="H556" s="18" t="s">
        <v>362</v>
      </c>
    </row>
    <row r="557">
      <c r="G557" s="4" t="s">
        <v>362</v>
      </c>
      <c r="H557" s="18" t="s">
        <v>362</v>
      </c>
    </row>
    <row r="558">
      <c r="G558" s="4" t="s">
        <v>362</v>
      </c>
      <c r="H558" s="18" t="s">
        <v>362</v>
      </c>
    </row>
    <row r="559">
      <c r="G559" s="4" t="s">
        <v>362</v>
      </c>
      <c r="H559" s="18" t="s">
        <v>362</v>
      </c>
    </row>
    <row r="560">
      <c r="G560" s="4" t="s">
        <v>362</v>
      </c>
      <c r="H560" s="18" t="s">
        <v>362</v>
      </c>
    </row>
    <row r="561">
      <c r="G561" s="4" t="s">
        <v>362</v>
      </c>
      <c r="H561" s="18" t="s">
        <v>362</v>
      </c>
    </row>
    <row r="562">
      <c r="G562" s="4" t="s">
        <v>362</v>
      </c>
      <c r="H562" s="18" t="s">
        <v>362</v>
      </c>
    </row>
    <row r="563">
      <c r="G563" s="4" t="s">
        <v>362</v>
      </c>
      <c r="H563" s="18" t="s">
        <v>362</v>
      </c>
    </row>
    <row r="564">
      <c r="G564" s="4" t="s">
        <v>362</v>
      </c>
      <c r="H564" s="18" t="s">
        <v>362</v>
      </c>
    </row>
    <row r="565">
      <c r="G565" s="4" t="s">
        <v>362</v>
      </c>
      <c r="H565" s="18" t="s">
        <v>362</v>
      </c>
    </row>
    <row r="566">
      <c r="G566" s="4" t="s">
        <v>362</v>
      </c>
      <c r="H566" s="18" t="s">
        <v>362</v>
      </c>
    </row>
    <row r="567">
      <c r="G567" s="4" t="s">
        <v>362</v>
      </c>
      <c r="H567" s="18" t="s">
        <v>362</v>
      </c>
    </row>
    <row r="568">
      <c r="G568" s="4" t="s">
        <v>362</v>
      </c>
      <c r="H568" s="18" t="s">
        <v>362</v>
      </c>
    </row>
    <row r="569">
      <c r="G569" s="4" t="s">
        <v>362</v>
      </c>
      <c r="H569" s="18" t="s">
        <v>362</v>
      </c>
    </row>
    <row r="570">
      <c r="G570" s="4" t="s">
        <v>362</v>
      </c>
      <c r="H570" s="18" t="s">
        <v>362</v>
      </c>
    </row>
    <row r="571">
      <c r="G571" s="4" t="s">
        <v>362</v>
      </c>
      <c r="H571" s="18" t="s">
        <v>362</v>
      </c>
    </row>
    <row r="572">
      <c r="G572" s="4" t="s">
        <v>362</v>
      </c>
      <c r="H572" s="18" t="s">
        <v>362</v>
      </c>
    </row>
    <row r="573">
      <c r="G573" s="4" t="s">
        <v>362</v>
      </c>
      <c r="H573" s="18" t="s">
        <v>362</v>
      </c>
    </row>
    <row r="574">
      <c r="G574" s="4" t="s">
        <v>362</v>
      </c>
      <c r="H574" s="18" t="s">
        <v>362</v>
      </c>
    </row>
    <row r="575">
      <c r="G575" s="4" t="s">
        <v>362</v>
      </c>
      <c r="H575" s="18" t="s">
        <v>362</v>
      </c>
    </row>
    <row r="576">
      <c r="G576" s="4" t="s">
        <v>362</v>
      </c>
      <c r="H576" s="18" t="s">
        <v>362</v>
      </c>
    </row>
    <row r="577">
      <c r="G577" s="4" t="s">
        <v>362</v>
      </c>
      <c r="H577" s="18" t="s">
        <v>362</v>
      </c>
    </row>
    <row r="578">
      <c r="G578" s="4" t="s">
        <v>362</v>
      </c>
      <c r="H578" s="18" t="s">
        <v>362</v>
      </c>
    </row>
    <row r="579">
      <c r="G579" s="4" t="s">
        <v>362</v>
      </c>
      <c r="H579" s="18" t="s">
        <v>362</v>
      </c>
    </row>
    <row r="580">
      <c r="G580" s="4" t="s">
        <v>362</v>
      </c>
      <c r="H580" s="18" t="s">
        <v>362</v>
      </c>
    </row>
    <row r="581">
      <c r="G581" s="4" t="s">
        <v>362</v>
      </c>
      <c r="H581" s="18" t="s">
        <v>362</v>
      </c>
    </row>
    <row r="582">
      <c r="G582" s="4" t="s">
        <v>362</v>
      </c>
      <c r="H582" s="18" t="s">
        <v>362</v>
      </c>
    </row>
    <row r="583">
      <c r="G583" s="4" t="s">
        <v>362</v>
      </c>
      <c r="H583" s="18" t="s">
        <v>362</v>
      </c>
    </row>
    <row r="584">
      <c r="G584" s="4" t="s">
        <v>362</v>
      </c>
      <c r="H584" s="18" t="s">
        <v>362</v>
      </c>
    </row>
    <row r="585">
      <c r="G585" s="4" t="s">
        <v>362</v>
      </c>
      <c r="H585" s="18" t="s">
        <v>362</v>
      </c>
    </row>
    <row r="586">
      <c r="G586" s="4" t="s">
        <v>362</v>
      </c>
      <c r="H586" s="18" t="s">
        <v>362</v>
      </c>
    </row>
    <row r="587">
      <c r="G587" s="4" t="s">
        <v>362</v>
      </c>
      <c r="H587" s="18" t="s">
        <v>362</v>
      </c>
    </row>
    <row r="588">
      <c r="G588" s="4" t="s">
        <v>362</v>
      </c>
      <c r="H588" s="18" t="s">
        <v>362</v>
      </c>
    </row>
    <row r="589">
      <c r="G589" s="4" t="s">
        <v>362</v>
      </c>
      <c r="H589" s="18" t="s">
        <v>362</v>
      </c>
    </row>
    <row r="590">
      <c r="G590" s="4" t="s">
        <v>362</v>
      </c>
      <c r="H590" s="18" t="s">
        <v>362</v>
      </c>
    </row>
    <row r="591">
      <c r="G591" s="4" t="s">
        <v>362</v>
      </c>
      <c r="H591" s="18" t="s">
        <v>362</v>
      </c>
    </row>
    <row r="592">
      <c r="G592" s="4" t="s">
        <v>362</v>
      </c>
      <c r="H592" s="18" t="s">
        <v>362</v>
      </c>
    </row>
    <row r="593">
      <c r="G593" s="4" t="s">
        <v>362</v>
      </c>
      <c r="H593" s="18" t="s">
        <v>362</v>
      </c>
    </row>
    <row r="594">
      <c r="G594" s="4" t="s">
        <v>362</v>
      </c>
      <c r="H594" s="18" t="s">
        <v>362</v>
      </c>
    </row>
    <row r="595">
      <c r="G595" s="4" t="s">
        <v>362</v>
      </c>
      <c r="H595" s="18" t="s">
        <v>362</v>
      </c>
    </row>
    <row r="596">
      <c r="G596" s="4" t="s">
        <v>362</v>
      </c>
      <c r="H596" s="18" t="s">
        <v>362</v>
      </c>
    </row>
    <row r="597">
      <c r="G597" s="4" t="s">
        <v>362</v>
      </c>
      <c r="H597" s="18" t="s">
        <v>362</v>
      </c>
    </row>
    <row r="598">
      <c r="G598" s="4" t="s">
        <v>362</v>
      </c>
      <c r="H598" s="18" t="s">
        <v>362</v>
      </c>
    </row>
    <row r="599">
      <c r="G599" s="4" t="s">
        <v>362</v>
      </c>
      <c r="H599" s="18" t="s">
        <v>362</v>
      </c>
    </row>
    <row r="600">
      <c r="G600" s="4" t="s">
        <v>362</v>
      </c>
      <c r="H600" s="18" t="s">
        <v>362</v>
      </c>
    </row>
    <row r="601">
      <c r="G601" s="4" t="s">
        <v>362</v>
      </c>
      <c r="H601" s="18" t="s">
        <v>362</v>
      </c>
    </row>
    <row r="602">
      <c r="G602" s="4" t="s">
        <v>362</v>
      </c>
      <c r="H602" s="18" t="s">
        <v>362</v>
      </c>
    </row>
    <row r="603">
      <c r="G603" s="4" t="s">
        <v>362</v>
      </c>
      <c r="H603" s="18" t="s">
        <v>362</v>
      </c>
    </row>
    <row r="604">
      <c r="G604" s="4" t="s">
        <v>362</v>
      </c>
      <c r="H604" s="18" t="s">
        <v>362</v>
      </c>
    </row>
    <row r="605">
      <c r="G605" s="4" t="s">
        <v>362</v>
      </c>
      <c r="H605" s="18" t="s">
        <v>362</v>
      </c>
    </row>
    <row r="606">
      <c r="G606" s="4" t="s">
        <v>362</v>
      </c>
      <c r="H606" s="18" t="s">
        <v>362</v>
      </c>
    </row>
    <row r="607">
      <c r="G607" s="4" t="s">
        <v>362</v>
      </c>
      <c r="H607" s="18" t="s">
        <v>362</v>
      </c>
    </row>
    <row r="608">
      <c r="G608" s="4" t="s">
        <v>362</v>
      </c>
      <c r="H608" s="18" t="s">
        <v>362</v>
      </c>
    </row>
    <row r="609">
      <c r="G609" s="4" t="s">
        <v>362</v>
      </c>
      <c r="H609" s="18" t="s">
        <v>362</v>
      </c>
    </row>
    <row r="610">
      <c r="G610" s="4" t="s">
        <v>362</v>
      </c>
      <c r="H610" s="18" t="s">
        <v>362</v>
      </c>
    </row>
    <row r="611">
      <c r="G611" s="4" t="s">
        <v>362</v>
      </c>
      <c r="H611" s="18" t="s">
        <v>362</v>
      </c>
    </row>
    <row r="612">
      <c r="G612" s="4" t="s">
        <v>362</v>
      </c>
      <c r="H612" s="18" t="s">
        <v>362</v>
      </c>
    </row>
    <row r="613">
      <c r="G613" s="4" t="s">
        <v>362</v>
      </c>
      <c r="H613" s="18" t="s">
        <v>362</v>
      </c>
    </row>
    <row r="614">
      <c r="G614" s="4" t="s">
        <v>362</v>
      </c>
      <c r="H614" s="18" t="s">
        <v>362</v>
      </c>
    </row>
    <row r="615">
      <c r="G615" s="4" t="s">
        <v>362</v>
      </c>
      <c r="H615" s="18" t="s">
        <v>362</v>
      </c>
    </row>
    <row r="616">
      <c r="G616" s="4" t="s">
        <v>362</v>
      </c>
      <c r="H616" s="18" t="s">
        <v>362</v>
      </c>
    </row>
    <row r="617">
      <c r="G617" s="4" t="s">
        <v>362</v>
      </c>
      <c r="H617" s="18" t="s">
        <v>362</v>
      </c>
    </row>
    <row r="618">
      <c r="G618" s="4" t="s">
        <v>362</v>
      </c>
      <c r="H618" s="18" t="s">
        <v>362</v>
      </c>
    </row>
    <row r="619">
      <c r="G619" s="4" t="s">
        <v>362</v>
      </c>
      <c r="H619" s="18" t="s">
        <v>362</v>
      </c>
    </row>
    <row r="620">
      <c r="G620" s="4" t="s">
        <v>362</v>
      </c>
      <c r="H620" s="18" t="s">
        <v>362</v>
      </c>
    </row>
    <row r="621">
      <c r="G621" s="4" t="s">
        <v>362</v>
      </c>
      <c r="H621" s="18" t="s">
        <v>362</v>
      </c>
    </row>
    <row r="622">
      <c r="G622" s="4" t="s">
        <v>362</v>
      </c>
      <c r="H622" s="18" t="s">
        <v>362</v>
      </c>
    </row>
    <row r="623">
      <c r="G623" s="4" t="s">
        <v>362</v>
      </c>
      <c r="H623" s="18" t="s">
        <v>362</v>
      </c>
    </row>
    <row r="624">
      <c r="G624" s="4" t="s">
        <v>362</v>
      </c>
      <c r="H624" s="18" t="s">
        <v>362</v>
      </c>
    </row>
    <row r="625">
      <c r="G625" s="4" t="s">
        <v>362</v>
      </c>
      <c r="H625" s="18" t="s">
        <v>362</v>
      </c>
    </row>
    <row r="626">
      <c r="G626" s="4" t="s">
        <v>362</v>
      </c>
      <c r="H626" s="18" t="s">
        <v>362</v>
      </c>
    </row>
    <row r="627">
      <c r="G627" s="4" t="s">
        <v>362</v>
      </c>
      <c r="H627" s="18" t="s">
        <v>362</v>
      </c>
    </row>
    <row r="628">
      <c r="G628" s="4" t="s">
        <v>362</v>
      </c>
      <c r="H628" s="18" t="s">
        <v>362</v>
      </c>
    </row>
    <row r="629">
      <c r="G629" s="4" t="s">
        <v>362</v>
      </c>
      <c r="H629" s="18" t="s">
        <v>362</v>
      </c>
    </row>
    <row r="630">
      <c r="G630" s="4" t="s">
        <v>362</v>
      </c>
      <c r="H630" s="18" t="s">
        <v>362</v>
      </c>
    </row>
    <row r="631">
      <c r="G631" s="4" t="s">
        <v>362</v>
      </c>
      <c r="H631" s="18" t="s">
        <v>362</v>
      </c>
    </row>
    <row r="632">
      <c r="G632" s="4" t="s">
        <v>362</v>
      </c>
      <c r="H632" s="18" t="s">
        <v>362</v>
      </c>
    </row>
    <row r="633">
      <c r="G633" s="4" t="s">
        <v>362</v>
      </c>
      <c r="H633" s="18" t="s">
        <v>362</v>
      </c>
    </row>
    <row r="634">
      <c r="G634" s="4" t="s">
        <v>362</v>
      </c>
      <c r="H634" s="18" t="s">
        <v>362</v>
      </c>
    </row>
    <row r="635">
      <c r="G635" s="4" t="s">
        <v>362</v>
      </c>
      <c r="H635" s="18" t="s">
        <v>362</v>
      </c>
    </row>
    <row r="636">
      <c r="G636" s="4" t="s">
        <v>362</v>
      </c>
      <c r="H636" s="18" t="s">
        <v>362</v>
      </c>
    </row>
    <row r="637">
      <c r="G637" s="4" t="s">
        <v>362</v>
      </c>
      <c r="H637" s="18" t="s">
        <v>362</v>
      </c>
    </row>
    <row r="638">
      <c r="G638" s="4" t="s">
        <v>362</v>
      </c>
      <c r="H638" s="18" t="s">
        <v>362</v>
      </c>
    </row>
    <row r="639">
      <c r="G639" s="4" t="s">
        <v>362</v>
      </c>
      <c r="H639" s="18" t="s">
        <v>362</v>
      </c>
    </row>
    <row r="640">
      <c r="G640" s="4" t="s">
        <v>362</v>
      </c>
      <c r="H640" s="18" t="s">
        <v>362</v>
      </c>
    </row>
    <row r="641">
      <c r="G641" s="4" t="s">
        <v>362</v>
      </c>
      <c r="H641" s="18" t="s">
        <v>362</v>
      </c>
    </row>
    <row r="642">
      <c r="G642" s="4" t="s">
        <v>362</v>
      </c>
      <c r="H642" s="18" t="s">
        <v>362</v>
      </c>
    </row>
    <row r="643">
      <c r="G643" s="4" t="s">
        <v>362</v>
      </c>
      <c r="H643" s="18" t="s">
        <v>362</v>
      </c>
    </row>
    <row r="644">
      <c r="G644" s="4" t="s">
        <v>362</v>
      </c>
      <c r="H644" s="18" t="s">
        <v>362</v>
      </c>
    </row>
    <row r="645">
      <c r="G645" s="4" t="s">
        <v>362</v>
      </c>
      <c r="H645" s="18" t="s">
        <v>362</v>
      </c>
    </row>
    <row r="646">
      <c r="G646" s="4" t="s">
        <v>362</v>
      </c>
      <c r="H646" s="18" t="s">
        <v>362</v>
      </c>
    </row>
    <row r="647">
      <c r="G647" s="4" t="s">
        <v>362</v>
      </c>
      <c r="H647" s="18" t="s">
        <v>362</v>
      </c>
    </row>
    <row r="648">
      <c r="G648" s="4" t="s">
        <v>362</v>
      </c>
      <c r="H648" s="18" t="s">
        <v>362</v>
      </c>
    </row>
    <row r="649">
      <c r="G649" s="4" t="s">
        <v>362</v>
      </c>
      <c r="H649" s="18" t="s">
        <v>362</v>
      </c>
    </row>
    <row r="650">
      <c r="G650" s="4" t="s">
        <v>362</v>
      </c>
      <c r="H650" s="18" t="s">
        <v>362</v>
      </c>
    </row>
    <row r="651">
      <c r="G651" s="4" t="s">
        <v>362</v>
      </c>
      <c r="H651" s="18" t="s">
        <v>362</v>
      </c>
    </row>
    <row r="652">
      <c r="G652" s="4" t="s">
        <v>362</v>
      </c>
      <c r="H652" s="18" t="s">
        <v>362</v>
      </c>
    </row>
    <row r="653">
      <c r="G653" s="4" t="s">
        <v>362</v>
      </c>
      <c r="H653" s="18" t="s">
        <v>362</v>
      </c>
    </row>
    <row r="654">
      <c r="G654" s="4" t="s">
        <v>362</v>
      </c>
      <c r="H654" s="18" t="s">
        <v>362</v>
      </c>
    </row>
    <row r="655">
      <c r="G655" s="4" t="s">
        <v>362</v>
      </c>
      <c r="H655" s="18" t="s">
        <v>362</v>
      </c>
    </row>
    <row r="656">
      <c r="G656" s="4" t="s">
        <v>362</v>
      </c>
      <c r="H656" s="18" t="s">
        <v>362</v>
      </c>
    </row>
    <row r="657">
      <c r="G657" s="4" t="s">
        <v>362</v>
      </c>
      <c r="H657" s="18" t="s">
        <v>362</v>
      </c>
    </row>
    <row r="658">
      <c r="G658" s="4" t="s">
        <v>362</v>
      </c>
      <c r="H658" s="18" t="s">
        <v>362</v>
      </c>
    </row>
    <row r="659">
      <c r="G659" s="4" t="s">
        <v>362</v>
      </c>
      <c r="H659" s="18" t="s">
        <v>362</v>
      </c>
    </row>
    <row r="660">
      <c r="G660" s="4" t="s">
        <v>362</v>
      </c>
      <c r="H660" s="18" t="s">
        <v>362</v>
      </c>
    </row>
    <row r="661">
      <c r="G661" s="4" t="s">
        <v>362</v>
      </c>
      <c r="H661" s="18" t="s">
        <v>362</v>
      </c>
    </row>
    <row r="662">
      <c r="G662" s="4" t="s">
        <v>362</v>
      </c>
      <c r="H662" s="18" t="s">
        <v>362</v>
      </c>
    </row>
    <row r="663">
      <c r="G663" s="4" t="s">
        <v>362</v>
      </c>
      <c r="H663" s="18" t="s">
        <v>362</v>
      </c>
    </row>
    <row r="664">
      <c r="G664" s="4" t="s">
        <v>362</v>
      </c>
      <c r="H664" s="18" t="s">
        <v>362</v>
      </c>
    </row>
    <row r="665">
      <c r="G665" s="4" t="s">
        <v>362</v>
      </c>
      <c r="H665" s="18" t="s">
        <v>362</v>
      </c>
    </row>
    <row r="666">
      <c r="G666" s="4" t="s">
        <v>362</v>
      </c>
      <c r="H666" s="18" t="s">
        <v>362</v>
      </c>
    </row>
    <row r="667">
      <c r="G667" s="4" t="s">
        <v>362</v>
      </c>
      <c r="H667" s="18" t="s">
        <v>362</v>
      </c>
    </row>
    <row r="668">
      <c r="G668" s="4" t="s">
        <v>362</v>
      </c>
      <c r="H668" s="18" t="s">
        <v>362</v>
      </c>
    </row>
    <row r="669">
      <c r="G669" s="4" t="s">
        <v>362</v>
      </c>
      <c r="H669" s="18" t="s">
        <v>362</v>
      </c>
    </row>
    <row r="670">
      <c r="G670" s="4" t="s">
        <v>362</v>
      </c>
      <c r="H670" s="18" t="s">
        <v>362</v>
      </c>
    </row>
    <row r="671">
      <c r="G671" s="4" t="s">
        <v>362</v>
      </c>
      <c r="H671" s="18" t="s">
        <v>362</v>
      </c>
    </row>
    <row r="672">
      <c r="G672" s="4" t="s">
        <v>362</v>
      </c>
      <c r="H672" s="18" t="s">
        <v>362</v>
      </c>
    </row>
    <row r="673">
      <c r="G673" s="4" t="s">
        <v>362</v>
      </c>
      <c r="H673" s="18" t="s">
        <v>362</v>
      </c>
    </row>
    <row r="674">
      <c r="G674" s="4" t="s">
        <v>362</v>
      </c>
      <c r="H674" s="18" t="s">
        <v>362</v>
      </c>
    </row>
    <row r="675">
      <c r="G675" s="4" t="s">
        <v>362</v>
      </c>
      <c r="H675" s="18" t="s">
        <v>362</v>
      </c>
    </row>
    <row r="676">
      <c r="G676" s="4" t="s">
        <v>362</v>
      </c>
      <c r="H676" s="18" t="s">
        <v>362</v>
      </c>
    </row>
    <row r="677">
      <c r="G677" s="4" t="s">
        <v>362</v>
      </c>
      <c r="H677" s="18" t="s">
        <v>362</v>
      </c>
    </row>
    <row r="678">
      <c r="G678" s="4" t="s">
        <v>362</v>
      </c>
      <c r="H678" s="18" t="s">
        <v>362</v>
      </c>
    </row>
    <row r="679">
      <c r="G679" s="4" t="s">
        <v>362</v>
      </c>
      <c r="H679" s="18" t="s">
        <v>362</v>
      </c>
    </row>
    <row r="680">
      <c r="G680" s="4" t="s">
        <v>362</v>
      </c>
      <c r="H680" s="18" t="s">
        <v>362</v>
      </c>
    </row>
    <row r="681">
      <c r="G681" s="4" t="s">
        <v>362</v>
      </c>
      <c r="H681" s="18" t="s">
        <v>362</v>
      </c>
    </row>
    <row r="682">
      <c r="G682" s="4" t="s">
        <v>362</v>
      </c>
      <c r="H682" s="18" t="s">
        <v>362</v>
      </c>
    </row>
    <row r="683">
      <c r="G683" s="4" t="s">
        <v>362</v>
      </c>
      <c r="H683" s="18" t="s">
        <v>362</v>
      </c>
    </row>
    <row r="684">
      <c r="G684" s="4" t="s">
        <v>362</v>
      </c>
      <c r="H684" s="18" t="s">
        <v>362</v>
      </c>
    </row>
    <row r="685">
      <c r="G685" s="4" t="s">
        <v>362</v>
      </c>
      <c r="H685" s="18" t="s">
        <v>362</v>
      </c>
    </row>
    <row r="686">
      <c r="G686" s="4" t="s">
        <v>362</v>
      </c>
      <c r="H686" s="18" t="s">
        <v>362</v>
      </c>
    </row>
    <row r="687">
      <c r="G687" s="4" t="s">
        <v>362</v>
      </c>
      <c r="H687" s="18" t="s">
        <v>362</v>
      </c>
    </row>
    <row r="688">
      <c r="G688" s="4" t="s">
        <v>362</v>
      </c>
      <c r="H688" s="18" t="s">
        <v>362</v>
      </c>
    </row>
    <row r="689">
      <c r="G689" s="4" t="s">
        <v>362</v>
      </c>
      <c r="H689" s="18" t="s">
        <v>362</v>
      </c>
    </row>
    <row r="690">
      <c r="G690" s="4" t="s">
        <v>362</v>
      </c>
      <c r="H690" s="18" t="s">
        <v>362</v>
      </c>
    </row>
    <row r="691">
      <c r="G691" s="4" t="s">
        <v>362</v>
      </c>
      <c r="H691" s="18" t="s">
        <v>362</v>
      </c>
    </row>
    <row r="692">
      <c r="G692" s="4" t="s">
        <v>362</v>
      </c>
      <c r="H692" s="18" t="s">
        <v>362</v>
      </c>
    </row>
    <row r="693">
      <c r="G693" s="4" t="s">
        <v>362</v>
      </c>
      <c r="H693" s="18" t="s">
        <v>362</v>
      </c>
    </row>
    <row r="694">
      <c r="G694" s="4" t="s">
        <v>362</v>
      </c>
      <c r="H694" s="18" t="s">
        <v>362</v>
      </c>
    </row>
    <row r="695">
      <c r="G695" s="4" t="s">
        <v>362</v>
      </c>
      <c r="H695" s="18" t="s">
        <v>362</v>
      </c>
    </row>
    <row r="696">
      <c r="G696" s="4" t="s">
        <v>362</v>
      </c>
      <c r="H696" s="18" t="s">
        <v>362</v>
      </c>
    </row>
    <row r="697">
      <c r="G697" s="4" t="s">
        <v>362</v>
      </c>
      <c r="H697" s="18" t="s">
        <v>362</v>
      </c>
    </row>
    <row r="698">
      <c r="G698" s="4" t="s">
        <v>362</v>
      </c>
      <c r="H698" s="18" t="s">
        <v>362</v>
      </c>
    </row>
    <row r="699">
      <c r="G699" s="4" t="s">
        <v>362</v>
      </c>
      <c r="H699" s="18" t="s">
        <v>362</v>
      </c>
    </row>
    <row r="700">
      <c r="G700" s="4" t="s">
        <v>362</v>
      </c>
      <c r="H700" s="18" t="s">
        <v>362</v>
      </c>
    </row>
    <row r="701">
      <c r="G701" s="4" t="s">
        <v>362</v>
      </c>
      <c r="H701" s="18" t="s">
        <v>362</v>
      </c>
    </row>
    <row r="702">
      <c r="G702" s="4" t="s">
        <v>362</v>
      </c>
      <c r="H702" s="18" t="s">
        <v>362</v>
      </c>
    </row>
    <row r="703">
      <c r="G703" s="4" t="s">
        <v>362</v>
      </c>
      <c r="H703" s="18" t="s">
        <v>362</v>
      </c>
    </row>
    <row r="704">
      <c r="G704" s="4" t="s">
        <v>362</v>
      </c>
      <c r="H704" s="18" t="s">
        <v>362</v>
      </c>
    </row>
    <row r="705">
      <c r="G705" s="4" t="s">
        <v>362</v>
      </c>
      <c r="H705" s="18" t="s">
        <v>362</v>
      </c>
    </row>
    <row r="706">
      <c r="G706" s="4" t="s">
        <v>362</v>
      </c>
      <c r="H706" s="18" t="s">
        <v>362</v>
      </c>
    </row>
    <row r="707">
      <c r="G707" s="4" t="s">
        <v>362</v>
      </c>
      <c r="H707" s="18" t="s">
        <v>362</v>
      </c>
    </row>
    <row r="708">
      <c r="G708" s="4" t="s">
        <v>362</v>
      </c>
      <c r="H708" s="18" t="s">
        <v>362</v>
      </c>
    </row>
    <row r="709">
      <c r="G709" s="4" t="s">
        <v>362</v>
      </c>
      <c r="H709" s="18" t="s">
        <v>362</v>
      </c>
    </row>
    <row r="710">
      <c r="G710" s="4" t="s">
        <v>362</v>
      </c>
      <c r="H710" s="18" t="s">
        <v>362</v>
      </c>
    </row>
    <row r="711">
      <c r="G711" s="4" t="s">
        <v>362</v>
      </c>
      <c r="H711" s="18" t="s">
        <v>362</v>
      </c>
    </row>
    <row r="712">
      <c r="G712" s="4" t="s">
        <v>362</v>
      </c>
      <c r="H712" s="18" t="s">
        <v>362</v>
      </c>
    </row>
    <row r="713">
      <c r="G713" s="4" t="s">
        <v>362</v>
      </c>
      <c r="H713" s="18" t="s">
        <v>362</v>
      </c>
    </row>
    <row r="714">
      <c r="G714" s="4" t="s">
        <v>362</v>
      </c>
      <c r="H714" s="18" t="s">
        <v>362</v>
      </c>
    </row>
    <row r="715">
      <c r="G715" s="4" t="s">
        <v>362</v>
      </c>
      <c r="H715" s="18" t="s">
        <v>362</v>
      </c>
    </row>
    <row r="716">
      <c r="G716" s="4" t="s">
        <v>362</v>
      </c>
      <c r="H716" s="18" t="s">
        <v>362</v>
      </c>
    </row>
    <row r="717">
      <c r="G717" s="4" t="s">
        <v>362</v>
      </c>
      <c r="H717" s="18" t="s">
        <v>362</v>
      </c>
    </row>
    <row r="718">
      <c r="G718" s="4" t="s">
        <v>362</v>
      </c>
      <c r="H718" s="18" t="s">
        <v>362</v>
      </c>
    </row>
    <row r="719">
      <c r="G719" s="4" t="s">
        <v>362</v>
      </c>
      <c r="H719" s="18" t="s">
        <v>362</v>
      </c>
    </row>
    <row r="720">
      <c r="G720" s="4" t="s">
        <v>362</v>
      </c>
      <c r="H720" s="18" t="s">
        <v>362</v>
      </c>
    </row>
    <row r="721">
      <c r="G721" s="4" t="s">
        <v>362</v>
      </c>
      <c r="H721" s="18" t="s">
        <v>362</v>
      </c>
    </row>
    <row r="722">
      <c r="G722" s="4" t="s">
        <v>362</v>
      </c>
      <c r="H722" s="18" t="s">
        <v>362</v>
      </c>
    </row>
    <row r="723">
      <c r="G723" s="4" t="s">
        <v>362</v>
      </c>
      <c r="H723" s="18" t="s">
        <v>362</v>
      </c>
    </row>
    <row r="724">
      <c r="G724" s="4" t="s">
        <v>362</v>
      </c>
      <c r="H724" s="18" t="s">
        <v>362</v>
      </c>
    </row>
    <row r="725">
      <c r="G725" s="4" t="s">
        <v>362</v>
      </c>
      <c r="H725" s="18" t="s">
        <v>362</v>
      </c>
    </row>
    <row r="726">
      <c r="G726" s="4" t="s">
        <v>362</v>
      </c>
      <c r="H726" s="18" t="s">
        <v>362</v>
      </c>
    </row>
    <row r="727">
      <c r="G727" s="4" t="s">
        <v>362</v>
      </c>
      <c r="H727" s="18" t="s">
        <v>362</v>
      </c>
    </row>
    <row r="728">
      <c r="G728" s="4" t="s">
        <v>362</v>
      </c>
      <c r="H728" s="18" t="s">
        <v>362</v>
      </c>
    </row>
    <row r="729">
      <c r="G729" s="4" t="s">
        <v>362</v>
      </c>
      <c r="H729" s="18" t="s">
        <v>362</v>
      </c>
    </row>
    <row r="730">
      <c r="G730" s="4" t="s">
        <v>362</v>
      </c>
      <c r="H730" s="18" t="s">
        <v>362</v>
      </c>
    </row>
    <row r="731">
      <c r="G731" s="4" t="s">
        <v>362</v>
      </c>
      <c r="H731" s="18" t="s">
        <v>362</v>
      </c>
    </row>
    <row r="732">
      <c r="G732" s="4" t="s">
        <v>362</v>
      </c>
      <c r="H732" s="18" t="s">
        <v>362</v>
      </c>
    </row>
    <row r="733">
      <c r="G733" s="4" t="s">
        <v>362</v>
      </c>
      <c r="H733" s="18" t="s">
        <v>362</v>
      </c>
    </row>
    <row r="734">
      <c r="G734" s="4" t="s">
        <v>362</v>
      </c>
      <c r="H734" s="18" t="s">
        <v>362</v>
      </c>
    </row>
    <row r="735">
      <c r="G735" s="4" t="s">
        <v>362</v>
      </c>
      <c r="H735" s="18" t="s">
        <v>362</v>
      </c>
    </row>
    <row r="736">
      <c r="G736" s="4" t="s">
        <v>362</v>
      </c>
      <c r="H736" s="18" t="s">
        <v>362</v>
      </c>
    </row>
    <row r="737">
      <c r="G737" s="4" t="s">
        <v>362</v>
      </c>
      <c r="H737" s="18" t="s">
        <v>362</v>
      </c>
    </row>
    <row r="738">
      <c r="G738" s="4" t="s">
        <v>362</v>
      </c>
      <c r="H738" s="18" t="s">
        <v>362</v>
      </c>
    </row>
    <row r="739">
      <c r="G739" s="4" t="s">
        <v>362</v>
      </c>
      <c r="H739" s="18" t="s">
        <v>362</v>
      </c>
    </row>
    <row r="740">
      <c r="G740" s="4" t="s">
        <v>362</v>
      </c>
      <c r="H740" s="18" t="s">
        <v>362</v>
      </c>
    </row>
    <row r="741">
      <c r="G741" s="4" t="s">
        <v>362</v>
      </c>
      <c r="H741" s="18" t="s">
        <v>362</v>
      </c>
    </row>
    <row r="742">
      <c r="G742" s="4" t="s">
        <v>362</v>
      </c>
      <c r="H742" s="18" t="s">
        <v>362</v>
      </c>
    </row>
    <row r="743">
      <c r="G743" s="4" t="s">
        <v>362</v>
      </c>
      <c r="H743" s="18" t="s">
        <v>362</v>
      </c>
    </row>
    <row r="744">
      <c r="G744" s="4" t="s">
        <v>362</v>
      </c>
      <c r="H744" s="18" t="s">
        <v>362</v>
      </c>
    </row>
    <row r="745">
      <c r="G745" s="4" t="s">
        <v>362</v>
      </c>
      <c r="H745" s="18" t="s">
        <v>362</v>
      </c>
    </row>
    <row r="746">
      <c r="G746" s="4" t="s">
        <v>362</v>
      </c>
      <c r="H746" s="18" t="s">
        <v>362</v>
      </c>
    </row>
    <row r="747">
      <c r="G747" s="4" t="s">
        <v>362</v>
      </c>
      <c r="H747" s="18" t="s">
        <v>362</v>
      </c>
    </row>
    <row r="748">
      <c r="G748" s="4" t="s">
        <v>362</v>
      </c>
      <c r="H748" s="18" t="s">
        <v>362</v>
      </c>
    </row>
    <row r="749">
      <c r="G749" s="4" t="s">
        <v>362</v>
      </c>
      <c r="H749" s="18" t="s">
        <v>362</v>
      </c>
    </row>
    <row r="750">
      <c r="G750" s="4" t="s">
        <v>362</v>
      </c>
      <c r="H750" s="18" t="s">
        <v>362</v>
      </c>
    </row>
    <row r="751">
      <c r="G751" s="4" t="s">
        <v>362</v>
      </c>
      <c r="H751" s="18" t="s">
        <v>362</v>
      </c>
    </row>
    <row r="752">
      <c r="G752" s="4" t="s">
        <v>362</v>
      </c>
      <c r="H752" s="18" t="s">
        <v>362</v>
      </c>
    </row>
    <row r="753">
      <c r="G753" s="4" t="s">
        <v>362</v>
      </c>
      <c r="H753" s="18" t="s">
        <v>362</v>
      </c>
    </row>
    <row r="754">
      <c r="G754" s="4" t="s">
        <v>362</v>
      </c>
      <c r="H754" s="18" t="s">
        <v>362</v>
      </c>
    </row>
    <row r="755">
      <c r="G755" s="4" t="s">
        <v>362</v>
      </c>
      <c r="H755" s="18" t="s">
        <v>362</v>
      </c>
    </row>
    <row r="756">
      <c r="G756" s="4" t="s">
        <v>362</v>
      </c>
      <c r="H756" s="18" t="s">
        <v>362</v>
      </c>
    </row>
    <row r="757">
      <c r="G757" s="4" t="s">
        <v>362</v>
      </c>
      <c r="H757" s="18" t="s">
        <v>362</v>
      </c>
    </row>
    <row r="758">
      <c r="G758" s="4" t="s">
        <v>362</v>
      </c>
      <c r="H758" s="18" t="s">
        <v>362</v>
      </c>
    </row>
    <row r="759">
      <c r="G759" s="4" t="s">
        <v>362</v>
      </c>
      <c r="H759" s="18" t="s">
        <v>362</v>
      </c>
    </row>
    <row r="760">
      <c r="G760" s="4" t="s">
        <v>362</v>
      </c>
      <c r="H760" s="18" t="s">
        <v>362</v>
      </c>
    </row>
    <row r="761">
      <c r="G761" s="4" t="s">
        <v>362</v>
      </c>
      <c r="H761" s="18" t="s">
        <v>362</v>
      </c>
    </row>
    <row r="762">
      <c r="G762" s="4" t="s">
        <v>362</v>
      </c>
      <c r="H762" s="18" t="s">
        <v>362</v>
      </c>
    </row>
    <row r="763">
      <c r="G763" s="4" t="s">
        <v>362</v>
      </c>
      <c r="H763" s="18" t="s">
        <v>362</v>
      </c>
    </row>
    <row r="764">
      <c r="G764" s="4" t="s">
        <v>362</v>
      </c>
      <c r="H764" s="18" t="s">
        <v>362</v>
      </c>
    </row>
    <row r="765">
      <c r="G765" s="4" t="s">
        <v>362</v>
      </c>
      <c r="H765" s="18" t="s">
        <v>362</v>
      </c>
    </row>
    <row r="766">
      <c r="G766" s="4" t="s">
        <v>362</v>
      </c>
      <c r="H766" s="18" t="s">
        <v>362</v>
      </c>
    </row>
    <row r="767">
      <c r="G767" s="4" t="s">
        <v>362</v>
      </c>
      <c r="H767" s="18" t="s">
        <v>362</v>
      </c>
    </row>
    <row r="768">
      <c r="G768" s="4" t="s">
        <v>362</v>
      </c>
      <c r="H768" s="18" t="s">
        <v>362</v>
      </c>
    </row>
    <row r="769">
      <c r="G769" s="4" t="s">
        <v>362</v>
      </c>
      <c r="H769" s="18" t="s">
        <v>362</v>
      </c>
    </row>
    <row r="770">
      <c r="G770" s="4" t="s">
        <v>362</v>
      </c>
      <c r="H770" s="18" t="s">
        <v>362</v>
      </c>
    </row>
    <row r="771">
      <c r="G771" s="4" t="s">
        <v>362</v>
      </c>
      <c r="H771" s="18" t="s">
        <v>362</v>
      </c>
    </row>
    <row r="772">
      <c r="G772" s="4" t="s">
        <v>362</v>
      </c>
      <c r="H772" s="18" t="s">
        <v>362</v>
      </c>
    </row>
    <row r="773">
      <c r="G773" s="4" t="s">
        <v>362</v>
      </c>
      <c r="H773" s="18" t="s">
        <v>362</v>
      </c>
    </row>
    <row r="774">
      <c r="G774" s="4" t="s">
        <v>362</v>
      </c>
      <c r="H774" s="18" t="s">
        <v>362</v>
      </c>
    </row>
    <row r="775">
      <c r="G775" s="4" t="s">
        <v>362</v>
      </c>
      <c r="H775" s="18" t="s">
        <v>362</v>
      </c>
    </row>
    <row r="776">
      <c r="G776" s="4" t="s">
        <v>362</v>
      </c>
      <c r="H776" s="18" t="s">
        <v>362</v>
      </c>
    </row>
    <row r="777">
      <c r="G777" s="4" t="s">
        <v>362</v>
      </c>
      <c r="H777" s="18" t="s">
        <v>362</v>
      </c>
    </row>
    <row r="778">
      <c r="G778" s="4" t="s">
        <v>362</v>
      </c>
      <c r="H778" s="18" t="s">
        <v>362</v>
      </c>
    </row>
    <row r="779">
      <c r="G779" s="4" t="s">
        <v>362</v>
      </c>
      <c r="H779" s="18" t="s">
        <v>362</v>
      </c>
    </row>
    <row r="780">
      <c r="G780" s="4" t="s">
        <v>362</v>
      </c>
      <c r="H780" s="18" t="s">
        <v>362</v>
      </c>
    </row>
    <row r="781">
      <c r="G781" s="4" t="s">
        <v>362</v>
      </c>
      <c r="H781" s="18" t="s">
        <v>362</v>
      </c>
    </row>
    <row r="782">
      <c r="G782" s="4" t="s">
        <v>362</v>
      </c>
      <c r="H782" s="18" t="s">
        <v>362</v>
      </c>
    </row>
    <row r="783">
      <c r="G783" s="4" t="s">
        <v>362</v>
      </c>
      <c r="H783" s="18" t="s">
        <v>362</v>
      </c>
    </row>
    <row r="784">
      <c r="G784" s="4" t="s">
        <v>362</v>
      </c>
      <c r="H784" s="18" t="s">
        <v>362</v>
      </c>
    </row>
    <row r="785">
      <c r="G785" s="4" t="s">
        <v>362</v>
      </c>
      <c r="H785" s="18" t="s">
        <v>362</v>
      </c>
    </row>
    <row r="786">
      <c r="G786" s="4" t="s">
        <v>362</v>
      </c>
      <c r="H786" s="18" t="s">
        <v>362</v>
      </c>
    </row>
    <row r="787">
      <c r="G787" s="4" t="s">
        <v>362</v>
      </c>
      <c r="H787" s="18" t="s">
        <v>362</v>
      </c>
    </row>
    <row r="788">
      <c r="G788" s="4" t="s">
        <v>362</v>
      </c>
      <c r="H788" s="18" t="s">
        <v>362</v>
      </c>
    </row>
    <row r="789">
      <c r="G789" s="4" t="s">
        <v>362</v>
      </c>
      <c r="H789" s="18" t="s">
        <v>362</v>
      </c>
    </row>
    <row r="790">
      <c r="G790" s="4" t="s">
        <v>362</v>
      </c>
      <c r="H790" s="18" t="s">
        <v>362</v>
      </c>
    </row>
    <row r="791">
      <c r="G791" s="4" t="s">
        <v>362</v>
      </c>
      <c r="H791" s="18" t="s">
        <v>362</v>
      </c>
    </row>
    <row r="792">
      <c r="G792" s="4" t="s">
        <v>362</v>
      </c>
      <c r="H792" s="18" t="s">
        <v>362</v>
      </c>
    </row>
    <row r="793">
      <c r="G793" s="4" t="s">
        <v>362</v>
      </c>
      <c r="H793" s="18" t="s">
        <v>362</v>
      </c>
    </row>
    <row r="794">
      <c r="G794" s="4" t="s">
        <v>362</v>
      </c>
      <c r="H794" s="18" t="s">
        <v>362</v>
      </c>
    </row>
    <row r="795">
      <c r="G795" s="4" t="s">
        <v>362</v>
      </c>
      <c r="H795" s="18" t="s">
        <v>362</v>
      </c>
    </row>
    <row r="796">
      <c r="G796" s="4" t="s">
        <v>362</v>
      </c>
      <c r="H796" s="18" t="s">
        <v>362</v>
      </c>
    </row>
    <row r="797">
      <c r="G797" s="4" t="s">
        <v>362</v>
      </c>
      <c r="H797" s="18" t="s">
        <v>362</v>
      </c>
    </row>
    <row r="798">
      <c r="G798" s="4" t="s">
        <v>362</v>
      </c>
      <c r="H798" s="18" t="s">
        <v>362</v>
      </c>
    </row>
    <row r="799">
      <c r="G799" s="4" t="s">
        <v>362</v>
      </c>
      <c r="H799" s="18" t="s">
        <v>362</v>
      </c>
    </row>
    <row r="800">
      <c r="G800" s="4" t="s">
        <v>362</v>
      </c>
      <c r="H800" s="18" t="s">
        <v>362</v>
      </c>
    </row>
    <row r="801">
      <c r="G801" s="4" t="s">
        <v>362</v>
      </c>
      <c r="H801" s="18" t="s">
        <v>362</v>
      </c>
    </row>
    <row r="802">
      <c r="G802" s="4" t="s">
        <v>362</v>
      </c>
      <c r="H802" s="18" t="s">
        <v>362</v>
      </c>
    </row>
    <row r="803">
      <c r="G803" s="4" t="s">
        <v>362</v>
      </c>
      <c r="H803" s="18" t="s">
        <v>362</v>
      </c>
    </row>
    <row r="804">
      <c r="G804" s="4" t="s">
        <v>362</v>
      </c>
      <c r="H804" s="18" t="s">
        <v>362</v>
      </c>
    </row>
    <row r="805">
      <c r="G805" s="4" t="s">
        <v>362</v>
      </c>
      <c r="H805" s="18" t="s">
        <v>362</v>
      </c>
    </row>
    <row r="806">
      <c r="G806" s="4" t="s">
        <v>362</v>
      </c>
      <c r="H806" s="18" t="s">
        <v>362</v>
      </c>
    </row>
    <row r="807">
      <c r="G807" s="4" t="s">
        <v>362</v>
      </c>
      <c r="H807" s="18" t="s">
        <v>362</v>
      </c>
    </row>
    <row r="808">
      <c r="G808" s="4" t="s">
        <v>362</v>
      </c>
      <c r="H808" s="18" t="s">
        <v>362</v>
      </c>
    </row>
    <row r="809">
      <c r="G809" s="4" t="s">
        <v>362</v>
      </c>
      <c r="H809" s="18" t="s">
        <v>362</v>
      </c>
    </row>
    <row r="810">
      <c r="G810" s="4" t="s">
        <v>362</v>
      </c>
      <c r="H810" s="18" t="s">
        <v>362</v>
      </c>
    </row>
    <row r="811">
      <c r="G811" s="4" t="s">
        <v>362</v>
      </c>
      <c r="H811" s="18" t="s">
        <v>362</v>
      </c>
    </row>
    <row r="812">
      <c r="G812" s="4" t="s">
        <v>362</v>
      </c>
      <c r="H812" s="18" t="s">
        <v>362</v>
      </c>
    </row>
    <row r="813">
      <c r="G813" s="4" t="s">
        <v>362</v>
      </c>
      <c r="H813" s="18" t="s">
        <v>362</v>
      </c>
    </row>
    <row r="814">
      <c r="G814" s="4" t="s">
        <v>362</v>
      </c>
      <c r="H814" s="18" t="s">
        <v>362</v>
      </c>
    </row>
    <row r="815">
      <c r="G815" s="4" t="s">
        <v>362</v>
      </c>
      <c r="H815" s="18" t="s">
        <v>362</v>
      </c>
    </row>
    <row r="816">
      <c r="G816" s="4" t="s">
        <v>362</v>
      </c>
      <c r="H816" s="18" t="s">
        <v>362</v>
      </c>
    </row>
    <row r="817">
      <c r="G817" s="4" t="s">
        <v>362</v>
      </c>
      <c r="H817" s="18" t="s">
        <v>362</v>
      </c>
    </row>
    <row r="818">
      <c r="G818" s="4" t="s">
        <v>362</v>
      </c>
      <c r="H818" s="18" t="s">
        <v>362</v>
      </c>
    </row>
    <row r="819">
      <c r="G819" s="4" t="s">
        <v>362</v>
      </c>
      <c r="H819" s="18" t="s">
        <v>362</v>
      </c>
    </row>
    <row r="820">
      <c r="G820" s="4" t="s">
        <v>362</v>
      </c>
      <c r="H820" s="18" t="s">
        <v>362</v>
      </c>
    </row>
    <row r="821">
      <c r="G821" s="4" t="s">
        <v>362</v>
      </c>
      <c r="H821" s="18" t="s">
        <v>362</v>
      </c>
    </row>
    <row r="822">
      <c r="G822" s="4" t="s">
        <v>362</v>
      </c>
      <c r="H822" s="18" t="s">
        <v>362</v>
      </c>
    </row>
    <row r="823">
      <c r="G823" s="4" t="s">
        <v>362</v>
      </c>
      <c r="H823" s="18" t="s">
        <v>362</v>
      </c>
    </row>
    <row r="824">
      <c r="G824" s="4" t="s">
        <v>362</v>
      </c>
      <c r="H824" s="18" t="s">
        <v>362</v>
      </c>
    </row>
    <row r="825">
      <c r="G825" s="4" t="s">
        <v>362</v>
      </c>
      <c r="H825" s="18" t="s">
        <v>362</v>
      </c>
    </row>
    <row r="826">
      <c r="G826" s="4" t="s">
        <v>362</v>
      </c>
      <c r="H826" s="18" t="s">
        <v>362</v>
      </c>
    </row>
    <row r="827">
      <c r="G827" s="4" t="s">
        <v>362</v>
      </c>
      <c r="H827" s="18" t="s">
        <v>362</v>
      </c>
    </row>
    <row r="828">
      <c r="G828" s="4" t="s">
        <v>362</v>
      </c>
      <c r="H828" s="18" t="s">
        <v>362</v>
      </c>
    </row>
    <row r="829">
      <c r="G829" s="4" t="s">
        <v>362</v>
      </c>
      <c r="H829" s="18" t="s">
        <v>362</v>
      </c>
    </row>
    <row r="830">
      <c r="G830" s="4" t="s">
        <v>362</v>
      </c>
      <c r="H830" s="18" t="s">
        <v>362</v>
      </c>
    </row>
    <row r="831">
      <c r="G831" s="4" t="s">
        <v>362</v>
      </c>
      <c r="H831" s="18" t="s">
        <v>362</v>
      </c>
    </row>
    <row r="832">
      <c r="G832" s="4" t="s">
        <v>362</v>
      </c>
      <c r="H832" s="18" t="s">
        <v>362</v>
      </c>
    </row>
    <row r="833">
      <c r="G833" s="4" t="s">
        <v>362</v>
      </c>
      <c r="H833" s="18" t="s">
        <v>362</v>
      </c>
    </row>
    <row r="834">
      <c r="G834" s="4" t="s">
        <v>362</v>
      </c>
      <c r="H834" s="18" t="s">
        <v>362</v>
      </c>
    </row>
    <row r="835">
      <c r="G835" s="4" t="s">
        <v>362</v>
      </c>
      <c r="H835" s="18" t="s">
        <v>362</v>
      </c>
    </row>
    <row r="836">
      <c r="G836" s="4" t="s">
        <v>362</v>
      </c>
      <c r="H836" s="18" t="s">
        <v>362</v>
      </c>
    </row>
    <row r="837">
      <c r="G837" s="4" t="s">
        <v>362</v>
      </c>
      <c r="H837" s="18" t="s">
        <v>362</v>
      </c>
    </row>
    <row r="838">
      <c r="G838" s="4" t="s">
        <v>362</v>
      </c>
      <c r="H838" s="18" t="s">
        <v>362</v>
      </c>
    </row>
    <row r="839">
      <c r="G839" s="4" t="s">
        <v>362</v>
      </c>
      <c r="H839" s="18" t="s">
        <v>362</v>
      </c>
    </row>
    <row r="840">
      <c r="G840" s="4" t="s">
        <v>362</v>
      </c>
      <c r="H840" s="18" t="s">
        <v>362</v>
      </c>
    </row>
    <row r="841">
      <c r="G841" s="4" t="s">
        <v>362</v>
      </c>
      <c r="H841" s="18" t="s">
        <v>362</v>
      </c>
    </row>
    <row r="842">
      <c r="G842" s="4" t="s">
        <v>362</v>
      </c>
      <c r="H842" s="18" t="s">
        <v>362</v>
      </c>
    </row>
    <row r="843">
      <c r="G843" s="4" t="s">
        <v>362</v>
      </c>
      <c r="H843" s="18" t="s">
        <v>362</v>
      </c>
    </row>
    <row r="844">
      <c r="G844" s="4" t="s">
        <v>362</v>
      </c>
      <c r="H844" s="18" t="s">
        <v>362</v>
      </c>
    </row>
    <row r="845">
      <c r="G845" s="4" t="s">
        <v>362</v>
      </c>
      <c r="H845" s="18" t="s">
        <v>362</v>
      </c>
    </row>
    <row r="846">
      <c r="G846" s="4" t="s">
        <v>362</v>
      </c>
      <c r="H846" s="18" t="s">
        <v>362</v>
      </c>
    </row>
    <row r="847">
      <c r="G847" s="4" t="s">
        <v>362</v>
      </c>
      <c r="H847" s="18" t="s">
        <v>362</v>
      </c>
    </row>
    <row r="848">
      <c r="G848" s="4" t="s">
        <v>362</v>
      </c>
      <c r="H848" s="18" t="s">
        <v>362</v>
      </c>
    </row>
    <row r="849">
      <c r="G849" s="4" t="s">
        <v>362</v>
      </c>
      <c r="H849" s="18" t="s">
        <v>362</v>
      </c>
    </row>
    <row r="850">
      <c r="G850" s="4" t="s">
        <v>362</v>
      </c>
      <c r="H850" s="18" t="s">
        <v>362</v>
      </c>
    </row>
    <row r="851">
      <c r="G851" s="4" t="s">
        <v>362</v>
      </c>
      <c r="H851" s="18" t="s">
        <v>362</v>
      </c>
    </row>
    <row r="852">
      <c r="G852" s="4" t="s">
        <v>362</v>
      </c>
      <c r="H852" s="18" t="s">
        <v>362</v>
      </c>
    </row>
    <row r="853">
      <c r="G853" s="4" t="s">
        <v>362</v>
      </c>
      <c r="H853" s="18" t="s">
        <v>362</v>
      </c>
    </row>
    <row r="854">
      <c r="G854" s="4" t="s">
        <v>362</v>
      </c>
      <c r="H854" s="18" t="s">
        <v>362</v>
      </c>
    </row>
    <row r="855">
      <c r="G855" s="4" t="s">
        <v>362</v>
      </c>
      <c r="H855" s="18" t="s">
        <v>362</v>
      </c>
    </row>
    <row r="856">
      <c r="G856" s="4" t="s">
        <v>362</v>
      </c>
      <c r="H856" s="18" t="s">
        <v>362</v>
      </c>
    </row>
    <row r="857">
      <c r="G857" s="4" t="s">
        <v>362</v>
      </c>
      <c r="H857" s="18" t="s">
        <v>362</v>
      </c>
    </row>
    <row r="858">
      <c r="G858" s="4" t="s">
        <v>362</v>
      </c>
      <c r="H858" s="18" t="s">
        <v>362</v>
      </c>
    </row>
    <row r="859">
      <c r="G859" s="4" t="s">
        <v>362</v>
      </c>
      <c r="H859" s="18" t="s">
        <v>362</v>
      </c>
    </row>
    <row r="860">
      <c r="G860" s="4" t="s">
        <v>362</v>
      </c>
      <c r="H860" s="18" t="s">
        <v>362</v>
      </c>
    </row>
    <row r="861">
      <c r="G861" s="4" t="s">
        <v>362</v>
      </c>
      <c r="H861" s="18" t="s">
        <v>362</v>
      </c>
    </row>
    <row r="862">
      <c r="G862" s="4" t="s">
        <v>362</v>
      </c>
      <c r="H862" s="18" t="s">
        <v>362</v>
      </c>
    </row>
    <row r="863">
      <c r="G863" s="4" t="s">
        <v>362</v>
      </c>
      <c r="H863" s="18" t="s">
        <v>362</v>
      </c>
    </row>
    <row r="864">
      <c r="G864" s="4" t="s">
        <v>362</v>
      </c>
      <c r="H864" s="18" t="s">
        <v>362</v>
      </c>
    </row>
    <row r="865">
      <c r="G865" s="4" t="s">
        <v>362</v>
      </c>
      <c r="H865" s="18" t="s">
        <v>362</v>
      </c>
    </row>
    <row r="866">
      <c r="G866" s="4" t="s">
        <v>362</v>
      </c>
      <c r="H866" s="18" t="s">
        <v>362</v>
      </c>
    </row>
    <row r="867">
      <c r="G867" s="4" t="s">
        <v>362</v>
      </c>
      <c r="H867" s="18" t="s">
        <v>362</v>
      </c>
    </row>
    <row r="868">
      <c r="G868" s="4" t="s">
        <v>362</v>
      </c>
      <c r="H868" s="18" t="s">
        <v>362</v>
      </c>
    </row>
    <row r="869">
      <c r="G869" s="4" t="s">
        <v>362</v>
      </c>
      <c r="H869" s="18" t="s">
        <v>362</v>
      </c>
    </row>
    <row r="870">
      <c r="G870" s="4" t="s">
        <v>362</v>
      </c>
      <c r="H870" s="18" t="s">
        <v>362</v>
      </c>
    </row>
    <row r="871">
      <c r="G871" s="4" t="s">
        <v>362</v>
      </c>
      <c r="H871" s="18" t="s">
        <v>362</v>
      </c>
    </row>
    <row r="872">
      <c r="G872" s="4" t="s">
        <v>362</v>
      </c>
      <c r="H872" s="18" t="s">
        <v>362</v>
      </c>
    </row>
    <row r="873">
      <c r="G873" s="4" t="s">
        <v>362</v>
      </c>
      <c r="H873" s="18" t="s">
        <v>362</v>
      </c>
    </row>
    <row r="874">
      <c r="G874" s="4" t="s">
        <v>362</v>
      </c>
      <c r="H874" s="18" t="s">
        <v>362</v>
      </c>
    </row>
    <row r="875">
      <c r="G875" s="4" t="s">
        <v>362</v>
      </c>
      <c r="H875" s="18" t="s">
        <v>362</v>
      </c>
    </row>
    <row r="876">
      <c r="G876" s="4" t="s">
        <v>362</v>
      </c>
      <c r="H876" s="18" t="s">
        <v>362</v>
      </c>
    </row>
    <row r="877">
      <c r="G877" s="4" t="s">
        <v>362</v>
      </c>
      <c r="H877" s="18" t="s">
        <v>362</v>
      </c>
    </row>
    <row r="878">
      <c r="G878" s="4" t="s">
        <v>362</v>
      </c>
      <c r="H878" s="18" t="s">
        <v>362</v>
      </c>
    </row>
    <row r="879">
      <c r="G879" s="4" t="s">
        <v>362</v>
      </c>
      <c r="H879" s="18" t="s">
        <v>362</v>
      </c>
    </row>
    <row r="880">
      <c r="G880" s="4" t="s">
        <v>362</v>
      </c>
      <c r="H880" s="18" t="s">
        <v>362</v>
      </c>
    </row>
    <row r="881">
      <c r="G881" s="4" t="s">
        <v>362</v>
      </c>
      <c r="H881" s="18" t="s">
        <v>362</v>
      </c>
    </row>
    <row r="882">
      <c r="G882" s="4" t="s">
        <v>362</v>
      </c>
      <c r="H882" s="18" t="s">
        <v>362</v>
      </c>
    </row>
    <row r="883">
      <c r="G883" s="4" t="s">
        <v>362</v>
      </c>
      <c r="H883" s="18" t="s">
        <v>362</v>
      </c>
    </row>
    <row r="884">
      <c r="G884" s="4" t="s">
        <v>362</v>
      </c>
      <c r="H884" s="18" t="s">
        <v>362</v>
      </c>
    </row>
    <row r="885">
      <c r="G885" s="4" t="s">
        <v>362</v>
      </c>
      <c r="H885" s="18" t="s">
        <v>362</v>
      </c>
    </row>
    <row r="886">
      <c r="G886" s="4" t="s">
        <v>362</v>
      </c>
      <c r="H886" s="18" t="s">
        <v>362</v>
      </c>
    </row>
    <row r="887">
      <c r="G887" s="4" t="s">
        <v>362</v>
      </c>
      <c r="H887" s="18" t="s">
        <v>362</v>
      </c>
    </row>
    <row r="888">
      <c r="G888" s="4" t="s">
        <v>362</v>
      </c>
      <c r="H888" s="18" t="s">
        <v>362</v>
      </c>
    </row>
    <row r="889">
      <c r="G889" s="4" t="s">
        <v>362</v>
      </c>
      <c r="H889" s="18" t="s">
        <v>362</v>
      </c>
    </row>
    <row r="890">
      <c r="G890" s="4" t="s">
        <v>362</v>
      </c>
      <c r="H890" s="18" t="s">
        <v>362</v>
      </c>
    </row>
    <row r="891">
      <c r="G891" s="4" t="s">
        <v>362</v>
      </c>
      <c r="H891" s="18" t="s">
        <v>362</v>
      </c>
    </row>
    <row r="892">
      <c r="G892" s="4" t="s">
        <v>362</v>
      </c>
      <c r="H892" s="18" t="s">
        <v>362</v>
      </c>
    </row>
    <row r="893">
      <c r="G893" s="4" t="s">
        <v>362</v>
      </c>
      <c r="H893" s="18" t="s">
        <v>362</v>
      </c>
    </row>
    <row r="894">
      <c r="G894" s="4" t="s">
        <v>362</v>
      </c>
      <c r="H894" s="18" t="s">
        <v>362</v>
      </c>
    </row>
    <row r="895">
      <c r="G895" s="4" t="s">
        <v>362</v>
      </c>
      <c r="H895" s="18" t="s">
        <v>362</v>
      </c>
    </row>
    <row r="896">
      <c r="G896" s="4" t="s">
        <v>362</v>
      </c>
      <c r="H896" s="18" t="s">
        <v>362</v>
      </c>
    </row>
    <row r="897">
      <c r="G897" s="4" t="s">
        <v>362</v>
      </c>
      <c r="H897" s="18" t="s">
        <v>362</v>
      </c>
    </row>
    <row r="898">
      <c r="G898" s="4" t="s">
        <v>362</v>
      </c>
      <c r="H898" s="18" t="s">
        <v>362</v>
      </c>
    </row>
    <row r="899">
      <c r="G899" s="4" t="s">
        <v>362</v>
      </c>
      <c r="H899" s="18" t="s">
        <v>362</v>
      </c>
    </row>
    <row r="900">
      <c r="G900" s="4" t="s">
        <v>362</v>
      </c>
      <c r="H900" s="18" t="s">
        <v>362</v>
      </c>
    </row>
    <row r="901">
      <c r="G901" s="4" t="s">
        <v>362</v>
      </c>
      <c r="H901" s="18" t="s">
        <v>362</v>
      </c>
    </row>
    <row r="902">
      <c r="G902" s="4" t="s">
        <v>362</v>
      </c>
      <c r="H902" s="18" t="s">
        <v>362</v>
      </c>
    </row>
    <row r="903">
      <c r="G903" s="4" t="s">
        <v>362</v>
      </c>
      <c r="H903" s="18" t="s">
        <v>362</v>
      </c>
    </row>
    <row r="904">
      <c r="G904" s="4" t="s">
        <v>362</v>
      </c>
      <c r="H904" s="18" t="s">
        <v>362</v>
      </c>
    </row>
    <row r="905">
      <c r="G905" s="4" t="s">
        <v>362</v>
      </c>
      <c r="H905" s="18" t="s">
        <v>362</v>
      </c>
    </row>
    <row r="906">
      <c r="G906" s="4" t="s">
        <v>362</v>
      </c>
      <c r="H906" s="18" t="s">
        <v>362</v>
      </c>
    </row>
    <row r="907">
      <c r="G907" s="4" t="s">
        <v>362</v>
      </c>
      <c r="H907" s="18" t="s">
        <v>362</v>
      </c>
    </row>
    <row r="908">
      <c r="G908" s="4" t="s">
        <v>362</v>
      </c>
      <c r="H908" s="18" t="s">
        <v>362</v>
      </c>
    </row>
    <row r="909">
      <c r="G909" s="4" t="s">
        <v>362</v>
      </c>
      <c r="H909" s="18" t="s">
        <v>362</v>
      </c>
    </row>
    <row r="910">
      <c r="G910" s="4" t="s">
        <v>362</v>
      </c>
      <c r="H910" s="18" t="s">
        <v>362</v>
      </c>
    </row>
    <row r="911">
      <c r="G911" s="4" t="s">
        <v>362</v>
      </c>
      <c r="H911" s="18" t="s">
        <v>362</v>
      </c>
    </row>
    <row r="912">
      <c r="G912" s="4" t="s">
        <v>362</v>
      </c>
      <c r="H912" s="18" t="s">
        <v>362</v>
      </c>
    </row>
    <row r="913">
      <c r="G913" s="4" t="s">
        <v>362</v>
      </c>
      <c r="H913" s="18" t="s">
        <v>362</v>
      </c>
    </row>
    <row r="914">
      <c r="G914" s="4" t="s">
        <v>362</v>
      </c>
      <c r="H914" s="18" t="s">
        <v>362</v>
      </c>
    </row>
    <row r="915">
      <c r="G915" s="4" t="s">
        <v>362</v>
      </c>
      <c r="H915" s="18" t="s">
        <v>362</v>
      </c>
    </row>
    <row r="916">
      <c r="G916" s="4" t="s">
        <v>362</v>
      </c>
      <c r="H916" s="18" t="s">
        <v>362</v>
      </c>
    </row>
    <row r="917">
      <c r="G917" s="4" t="s">
        <v>362</v>
      </c>
      <c r="H917" s="18" t="s">
        <v>362</v>
      </c>
    </row>
    <row r="918">
      <c r="G918" s="4" t="s">
        <v>362</v>
      </c>
      <c r="H918" s="18" t="s">
        <v>362</v>
      </c>
    </row>
    <row r="919">
      <c r="G919" s="4" t="s">
        <v>362</v>
      </c>
      <c r="H919" s="18" t="s">
        <v>362</v>
      </c>
    </row>
    <row r="920">
      <c r="G920" s="4" t="s">
        <v>362</v>
      </c>
      <c r="H920" s="18" t="s">
        <v>362</v>
      </c>
    </row>
    <row r="921">
      <c r="G921" s="4" t="s">
        <v>362</v>
      </c>
      <c r="H921" s="18" t="s">
        <v>362</v>
      </c>
    </row>
    <row r="922">
      <c r="G922" s="4" t="s">
        <v>362</v>
      </c>
      <c r="H922" s="18" t="s">
        <v>362</v>
      </c>
    </row>
    <row r="923">
      <c r="G923" s="4" t="s">
        <v>362</v>
      </c>
      <c r="H923" s="18" t="s">
        <v>362</v>
      </c>
    </row>
    <row r="924">
      <c r="G924" s="4" t="s">
        <v>362</v>
      </c>
      <c r="H924" s="18" t="s">
        <v>362</v>
      </c>
    </row>
    <row r="925">
      <c r="G925" s="4" t="s">
        <v>362</v>
      </c>
      <c r="H925" s="18" t="s">
        <v>362</v>
      </c>
    </row>
    <row r="926">
      <c r="G926" s="4" t="s">
        <v>362</v>
      </c>
      <c r="H926" s="18" t="s">
        <v>362</v>
      </c>
    </row>
    <row r="927">
      <c r="G927" s="4" t="s">
        <v>362</v>
      </c>
      <c r="H927" s="18" t="s">
        <v>362</v>
      </c>
    </row>
    <row r="928">
      <c r="G928" s="4" t="s">
        <v>362</v>
      </c>
      <c r="H928" s="18" t="s">
        <v>362</v>
      </c>
    </row>
    <row r="929">
      <c r="G929" s="4" t="s">
        <v>362</v>
      </c>
      <c r="H929" s="18" t="s">
        <v>362</v>
      </c>
    </row>
    <row r="930">
      <c r="G930" s="4" t="s">
        <v>362</v>
      </c>
      <c r="H930" s="18" t="s">
        <v>362</v>
      </c>
    </row>
    <row r="931">
      <c r="G931" s="4" t="s">
        <v>362</v>
      </c>
      <c r="H931" s="18" t="s">
        <v>362</v>
      </c>
    </row>
    <row r="932">
      <c r="G932" s="4" t="s">
        <v>362</v>
      </c>
      <c r="H932" s="18" t="s">
        <v>362</v>
      </c>
    </row>
    <row r="933">
      <c r="G933" s="4" t="s">
        <v>362</v>
      </c>
      <c r="H933" s="18" t="s">
        <v>362</v>
      </c>
    </row>
    <row r="934">
      <c r="G934" s="4" t="s">
        <v>362</v>
      </c>
      <c r="H934" s="18" t="s">
        <v>362</v>
      </c>
    </row>
    <row r="935">
      <c r="G935" s="4" t="s">
        <v>362</v>
      </c>
      <c r="H935" s="18" t="s">
        <v>362</v>
      </c>
    </row>
    <row r="936">
      <c r="G936" s="4" t="s">
        <v>362</v>
      </c>
      <c r="H936" s="18" t="s">
        <v>362</v>
      </c>
    </row>
    <row r="937">
      <c r="G937" s="4" t="s">
        <v>362</v>
      </c>
      <c r="H937" s="18" t="s">
        <v>362</v>
      </c>
    </row>
    <row r="938">
      <c r="G938" s="4" t="s">
        <v>362</v>
      </c>
      <c r="H938" s="18" t="s">
        <v>362</v>
      </c>
    </row>
    <row r="939">
      <c r="G939" s="4" t="s">
        <v>362</v>
      </c>
      <c r="H939" s="18" t="s">
        <v>362</v>
      </c>
    </row>
    <row r="940">
      <c r="G940" s="4" t="s">
        <v>362</v>
      </c>
      <c r="H940" s="18" t="s">
        <v>362</v>
      </c>
    </row>
    <row r="941">
      <c r="G941" s="4" t="s">
        <v>362</v>
      </c>
      <c r="H941" s="18" t="s">
        <v>362</v>
      </c>
    </row>
    <row r="942">
      <c r="G942" s="4" t="s">
        <v>362</v>
      </c>
      <c r="H942" s="18" t="s">
        <v>362</v>
      </c>
    </row>
    <row r="943">
      <c r="G943" s="4" t="s">
        <v>362</v>
      </c>
      <c r="H943" s="18" t="s">
        <v>362</v>
      </c>
    </row>
    <row r="944">
      <c r="G944" s="4" t="s">
        <v>362</v>
      </c>
      <c r="H944" s="18" t="s">
        <v>362</v>
      </c>
    </row>
    <row r="945">
      <c r="G945" s="4" t="s">
        <v>362</v>
      </c>
      <c r="H945" s="18" t="s">
        <v>362</v>
      </c>
    </row>
    <row r="946">
      <c r="G946" s="4" t="s">
        <v>362</v>
      </c>
      <c r="H946" s="18" t="s">
        <v>362</v>
      </c>
    </row>
    <row r="947">
      <c r="G947" s="4" t="s">
        <v>362</v>
      </c>
      <c r="H947" s="18" t="s">
        <v>362</v>
      </c>
    </row>
    <row r="948">
      <c r="G948" s="4" t="s">
        <v>362</v>
      </c>
      <c r="H948" s="18" t="s">
        <v>362</v>
      </c>
    </row>
    <row r="949">
      <c r="G949" s="4" t="s">
        <v>362</v>
      </c>
      <c r="H949" s="18" t="s">
        <v>362</v>
      </c>
    </row>
    <row r="950">
      <c r="G950" s="4" t="s">
        <v>362</v>
      </c>
      <c r="H950" s="18" t="s">
        <v>362</v>
      </c>
    </row>
    <row r="951">
      <c r="G951" s="4" t="s">
        <v>362</v>
      </c>
      <c r="H951" s="18" t="s">
        <v>362</v>
      </c>
    </row>
    <row r="952">
      <c r="G952" s="4" t="s">
        <v>362</v>
      </c>
      <c r="H952" s="18" t="s">
        <v>362</v>
      </c>
    </row>
    <row r="953">
      <c r="G953" s="4" t="s">
        <v>362</v>
      </c>
      <c r="H953" s="18" t="s">
        <v>362</v>
      </c>
    </row>
    <row r="954">
      <c r="G954" s="4" t="s">
        <v>362</v>
      </c>
      <c r="H954" s="18" t="s">
        <v>362</v>
      </c>
    </row>
    <row r="955">
      <c r="G955" s="4" t="s">
        <v>362</v>
      </c>
      <c r="H955" s="18" t="s">
        <v>362</v>
      </c>
    </row>
    <row r="956">
      <c r="G956" s="4" t="s">
        <v>362</v>
      </c>
      <c r="H956" s="18" t="s">
        <v>362</v>
      </c>
    </row>
    <row r="957">
      <c r="G957" s="4" t="s">
        <v>362</v>
      </c>
      <c r="H957" s="18" t="s">
        <v>362</v>
      </c>
    </row>
    <row r="958">
      <c r="G958" s="4" t="s">
        <v>362</v>
      </c>
      <c r="H958" s="18" t="s">
        <v>362</v>
      </c>
    </row>
    <row r="959">
      <c r="G959" s="4" t="s">
        <v>362</v>
      </c>
      <c r="H959" s="18" t="s">
        <v>362</v>
      </c>
    </row>
    <row r="960">
      <c r="G960" s="4" t="s">
        <v>362</v>
      </c>
      <c r="H960" s="18" t="s">
        <v>362</v>
      </c>
    </row>
    <row r="961">
      <c r="G961" s="4" t="s">
        <v>362</v>
      </c>
      <c r="H961" s="18" t="s">
        <v>362</v>
      </c>
    </row>
    <row r="962">
      <c r="G962" s="4" t="s">
        <v>362</v>
      </c>
      <c r="H962" s="18" t="s">
        <v>362</v>
      </c>
    </row>
    <row r="963">
      <c r="G963" s="4" t="s">
        <v>362</v>
      </c>
      <c r="H963" s="18" t="s">
        <v>362</v>
      </c>
    </row>
    <row r="964">
      <c r="G964" s="4" t="s">
        <v>362</v>
      </c>
      <c r="H964" s="18" t="s">
        <v>362</v>
      </c>
    </row>
    <row r="965">
      <c r="G965" s="4" t="s">
        <v>362</v>
      </c>
      <c r="H965" s="18" t="s">
        <v>362</v>
      </c>
    </row>
    <row r="966">
      <c r="G966" s="4" t="s">
        <v>362</v>
      </c>
      <c r="H966" s="18" t="s">
        <v>362</v>
      </c>
    </row>
    <row r="967">
      <c r="G967" s="4" t="s">
        <v>362</v>
      </c>
      <c r="H967" s="18" t="s">
        <v>362</v>
      </c>
    </row>
    <row r="968">
      <c r="G968" s="4" t="s">
        <v>362</v>
      </c>
      <c r="H968" s="18" t="s">
        <v>362</v>
      </c>
    </row>
    <row r="969">
      <c r="G969" s="4" t="s">
        <v>362</v>
      </c>
      <c r="H969" s="18" t="s">
        <v>362</v>
      </c>
    </row>
    <row r="970">
      <c r="G970" s="4" t="s">
        <v>362</v>
      </c>
      <c r="H970" s="18" t="s">
        <v>362</v>
      </c>
    </row>
    <row r="971">
      <c r="G971" s="4" t="s">
        <v>362</v>
      </c>
      <c r="H971" s="18" t="s">
        <v>362</v>
      </c>
    </row>
    <row r="972">
      <c r="G972" s="4" t="s">
        <v>362</v>
      </c>
      <c r="H972" s="18" t="s">
        <v>362</v>
      </c>
    </row>
    <row r="973">
      <c r="G973" s="4" t="s">
        <v>362</v>
      </c>
      <c r="H973" s="18" t="s">
        <v>362</v>
      </c>
    </row>
    <row r="974">
      <c r="G974" s="4" t="s">
        <v>362</v>
      </c>
      <c r="H974" s="18" t="s">
        <v>362</v>
      </c>
    </row>
    <row r="975">
      <c r="G975" s="4" t="s">
        <v>362</v>
      </c>
      <c r="H975" s="18" t="s">
        <v>362</v>
      </c>
    </row>
    <row r="976">
      <c r="G976" s="4" t="s">
        <v>362</v>
      </c>
      <c r="H976" s="18" t="s">
        <v>362</v>
      </c>
    </row>
    <row r="977">
      <c r="G977" s="4" t="s">
        <v>362</v>
      </c>
      <c r="H977" s="18" t="s">
        <v>362</v>
      </c>
    </row>
    <row r="978">
      <c r="G978" s="4" t="s">
        <v>362</v>
      </c>
      <c r="H978" s="18" t="s">
        <v>362</v>
      </c>
    </row>
    <row r="979">
      <c r="G979" s="4" t="s">
        <v>362</v>
      </c>
      <c r="H979" s="18" t="s">
        <v>362</v>
      </c>
    </row>
    <row r="980">
      <c r="G980" s="4" t="s">
        <v>362</v>
      </c>
      <c r="H980" s="18" t="s">
        <v>362</v>
      </c>
    </row>
    <row r="981">
      <c r="G981" s="4" t="s">
        <v>362</v>
      </c>
      <c r="H981" s="18" t="s">
        <v>362</v>
      </c>
    </row>
    <row r="982">
      <c r="G982" s="4" t="s">
        <v>362</v>
      </c>
      <c r="H982" s="18" t="s">
        <v>362</v>
      </c>
    </row>
    <row r="983">
      <c r="G983" s="4" t="s">
        <v>362</v>
      </c>
      <c r="H983" s="18" t="s">
        <v>362</v>
      </c>
    </row>
    <row r="984">
      <c r="G984" s="4" t="s">
        <v>362</v>
      </c>
      <c r="H984" s="18" t="s">
        <v>362</v>
      </c>
    </row>
    <row r="985">
      <c r="G985" s="4" t="s">
        <v>362</v>
      </c>
      <c r="H985" s="18" t="s">
        <v>362</v>
      </c>
    </row>
    <row r="986">
      <c r="G986" s="4" t="s">
        <v>362</v>
      </c>
      <c r="H986" s="18" t="s">
        <v>362</v>
      </c>
    </row>
    <row r="987">
      <c r="G987" s="4" t="s">
        <v>362</v>
      </c>
      <c r="H987" s="18" t="s">
        <v>362</v>
      </c>
    </row>
    <row r="988">
      <c r="G988" s="4" t="s">
        <v>362</v>
      </c>
      <c r="H988" s="18" t="s">
        <v>362</v>
      </c>
    </row>
    <row r="989">
      <c r="G989" s="4" t="s">
        <v>362</v>
      </c>
      <c r="H989" s="18" t="s">
        <v>362</v>
      </c>
    </row>
    <row r="990">
      <c r="G990" s="4" t="s">
        <v>362</v>
      </c>
      <c r="H990" s="18" t="s">
        <v>362</v>
      </c>
    </row>
    <row r="991">
      <c r="G991" s="4" t="s">
        <v>362</v>
      </c>
      <c r="H991" s="18" t="s">
        <v>362</v>
      </c>
    </row>
    <row r="992">
      <c r="G992" s="4" t="s">
        <v>362</v>
      </c>
      <c r="H992" s="18" t="s">
        <v>362</v>
      </c>
    </row>
    <row r="993">
      <c r="G993" s="4" t="s">
        <v>362</v>
      </c>
      <c r="H993" s="18" t="s">
        <v>362</v>
      </c>
    </row>
    <row r="994">
      <c r="G994" s="4" t="s">
        <v>362</v>
      </c>
      <c r="H994" s="18" t="s">
        <v>362</v>
      </c>
    </row>
    <row r="995">
      <c r="G995" s="4" t="s">
        <v>362</v>
      </c>
      <c r="H995" s="18" t="s">
        <v>362</v>
      </c>
    </row>
    <row r="996">
      <c r="G996" s="4" t="s">
        <v>362</v>
      </c>
      <c r="H996" s="18" t="s">
        <v>362</v>
      </c>
    </row>
    <row r="997">
      <c r="G997" s="4" t="s">
        <v>362</v>
      </c>
      <c r="H997" s="18" t="s">
        <v>362</v>
      </c>
    </row>
    <row r="998">
      <c r="G998" s="4" t="s">
        <v>362</v>
      </c>
      <c r="H998" s="18" t="s">
        <v>362</v>
      </c>
    </row>
    <row r="999">
      <c r="G999" s="4" t="s">
        <v>362</v>
      </c>
      <c r="H999" s="18" t="s">
        <v>362</v>
      </c>
    </row>
    <row r="1000">
      <c r="G1000" s="4" t="s">
        <v>362</v>
      </c>
      <c r="H1000" s="18" t="s">
        <v>362</v>
      </c>
    </row>
  </sheetData>
  <autoFilter ref="$A$1:$L$121"/>
  <conditionalFormatting sqref="A1:A126">
    <cfRule type="expression" dxfId="0" priority="1">
      <formula>COUNTIF(A2:$A1000,A2)&gt;1</formula>
    </cfRule>
  </conditionalFormatting>
  <dataValidations>
    <dataValidation type="list" allowBlank="1" showDropDown="1" showErrorMessage="1" sqref="I2:I121">
      <formula1>"Bekasi,Bogor,Depok,Jakarta,Tangerang,N/A"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7"/>
    <row r="98"/>
    <row r="99"/>
    <row r="100"/>
    <row r="101"/>
    <row r="102"/>
    <row r="103"/>
    <row r="104"/>
    <row r="105"/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9" t="s">
        <v>5</v>
      </c>
      <c r="B1" s="19" t="s">
        <v>6</v>
      </c>
      <c r="C1" s="19" t="s">
        <v>268</v>
      </c>
    </row>
    <row r="2">
      <c r="A2" s="19" t="s">
        <v>30</v>
      </c>
      <c r="B2" s="19" t="s">
        <v>266</v>
      </c>
      <c r="C2" s="19">
        <v>415.0</v>
      </c>
    </row>
    <row r="3">
      <c r="A3" s="19" t="s">
        <v>17</v>
      </c>
      <c r="B3" s="19" t="s">
        <v>159</v>
      </c>
      <c r="C3" s="19">
        <v>1352.0</v>
      </c>
    </row>
    <row r="4">
      <c r="A4" s="19" t="s">
        <v>33</v>
      </c>
      <c r="B4" s="19" t="s">
        <v>150</v>
      </c>
      <c r="C4" s="19">
        <v>1444.0</v>
      </c>
    </row>
    <row r="5">
      <c r="A5" s="19" t="s">
        <v>15</v>
      </c>
      <c r="B5" s="19" t="s">
        <v>177</v>
      </c>
      <c r="C5" s="19">
        <v>535.0</v>
      </c>
    </row>
    <row r="6">
      <c r="A6" s="19" t="s">
        <v>51</v>
      </c>
      <c r="B6" s="19" t="s">
        <v>139</v>
      </c>
      <c r="C6" s="19">
        <v>633.0</v>
      </c>
    </row>
    <row r="7">
      <c r="A7" s="19" t="s">
        <v>38</v>
      </c>
      <c r="B7" s="19" t="s">
        <v>210</v>
      </c>
      <c r="C7" s="19">
        <v>966.0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269</v>
      </c>
      <c r="D1" s="1" t="s">
        <v>4</v>
      </c>
      <c r="E1" s="1" t="s">
        <v>270</v>
      </c>
    </row>
    <row r="2">
      <c r="A2" s="1" t="s">
        <v>14</v>
      </c>
      <c r="B2" s="1" t="s">
        <v>271</v>
      </c>
      <c r="C2" s="1">
        <v>8.125614226E9</v>
      </c>
      <c r="D2" s="1" t="s">
        <v>272</v>
      </c>
      <c r="E2" s="1">
        <v>2018.0</v>
      </c>
    </row>
    <row r="3">
      <c r="A3" s="1" t="s">
        <v>22</v>
      </c>
      <c r="B3" s="1" t="s">
        <v>273</v>
      </c>
      <c r="C3" s="1">
        <v>8.962458591E9</v>
      </c>
      <c r="D3" s="1" t="s">
        <v>274</v>
      </c>
      <c r="E3" s="1">
        <v>2021.0</v>
      </c>
    </row>
    <row r="4">
      <c r="A4" s="1" t="s">
        <v>26</v>
      </c>
      <c r="B4" s="1" t="s">
        <v>275</v>
      </c>
      <c r="C4" s="1">
        <v>8.124668136E9</v>
      </c>
      <c r="D4" s="1" t="s">
        <v>272</v>
      </c>
      <c r="E4" s="1">
        <v>2023.0</v>
      </c>
    </row>
    <row r="5">
      <c r="A5" s="1" t="s">
        <v>29</v>
      </c>
      <c r="B5" s="1" t="s">
        <v>276</v>
      </c>
      <c r="C5" s="1">
        <v>8.574335942E9</v>
      </c>
      <c r="D5" s="1" t="s">
        <v>274</v>
      </c>
      <c r="E5" s="1">
        <v>2021.0</v>
      </c>
    </row>
    <row r="6">
      <c r="A6" s="1" t="s">
        <v>34</v>
      </c>
      <c r="B6" s="1" t="s">
        <v>277</v>
      </c>
      <c r="C6" s="1">
        <v>8.575667265E9</v>
      </c>
      <c r="D6" s="1" t="s">
        <v>272</v>
      </c>
      <c r="E6" s="1">
        <v>2017.0</v>
      </c>
    </row>
    <row r="7">
      <c r="A7" s="1" t="s">
        <v>37</v>
      </c>
      <c r="B7" s="1" t="s">
        <v>278</v>
      </c>
      <c r="C7" s="1">
        <v>8.525661907E9</v>
      </c>
      <c r="D7" s="1" t="s">
        <v>272</v>
      </c>
      <c r="E7" s="1">
        <v>2018.0</v>
      </c>
    </row>
    <row r="8">
      <c r="A8" s="1" t="s">
        <v>40</v>
      </c>
      <c r="B8" s="1" t="s">
        <v>279</v>
      </c>
      <c r="C8" s="1">
        <v>8.122556017E9</v>
      </c>
      <c r="D8" s="1" t="s">
        <v>280</v>
      </c>
      <c r="E8" s="1">
        <v>2016.0</v>
      </c>
    </row>
    <row r="9">
      <c r="A9" s="1" t="s">
        <v>42</v>
      </c>
      <c r="B9" s="1" t="s">
        <v>281</v>
      </c>
      <c r="C9" s="1">
        <v>8.575437923E9</v>
      </c>
      <c r="D9" s="1" t="s">
        <v>272</v>
      </c>
      <c r="E9" s="1">
        <v>2022.0</v>
      </c>
    </row>
    <row r="10">
      <c r="A10" s="1" t="s">
        <v>45</v>
      </c>
      <c r="B10" s="1" t="s">
        <v>282</v>
      </c>
      <c r="C10" s="1">
        <v>8.532322047E9</v>
      </c>
      <c r="D10" s="1" t="s">
        <v>274</v>
      </c>
      <c r="E10" s="1">
        <v>2019.0</v>
      </c>
    </row>
    <row r="11">
      <c r="A11" s="1" t="s">
        <v>49</v>
      </c>
      <c r="B11" s="1" t="s">
        <v>283</v>
      </c>
      <c r="C11" s="1">
        <v>8.524226067E9</v>
      </c>
      <c r="D11" s="1" t="s">
        <v>272</v>
      </c>
      <c r="E11" s="1">
        <v>2015.0</v>
      </c>
    </row>
    <row r="12">
      <c r="A12" s="1" t="s">
        <v>54</v>
      </c>
      <c r="B12" s="1" t="s">
        <v>284</v>
      </c>
      <c r="C12" s="1">
        <v>8.522338687E9</v>
      </c>
      <c r="D12" s="1" t="s">
        <v>272</v>
      </c>
      <c r="E12" s="1">
        <v>2016.0</v>
      </c>
    </row>
    <row r="13">
      <c r="A13" s="1" t="s">
        <v>57</v>
      </c>
      <c r="B13" s="1" t="s">
        <v>285</v>
      </c>
      <c r="C13" s="1">
        <v>8.537120868E9</v>
      </c>
      <c r="D13" s="1" t="s">
        <v>272</v>
      </c>
      <c r="E13" s="1">
        <v>2020.0</v>
      </c>
    </row>
    <row r="14">
      <c r="A14" s="1" t="s">
        <v>60</v>
      </c>
      <c r="B14" s="1" t="s">
        <v>286</v>
      </c>
      <c r="C14" s="1">
        <v>8.965479144E9</v>
      </c>
      <c r="D14" s="1" t="s">
        <v>272</v>
      </c>
      <c r="E14" s="1">
        <v>2024.0</v>
      </c>
    </row>
    <row r="15">
      <c r="A15" s="1" t="s">
        <v>62</v>
      </c>
      <c r="B15" s="1" t="s">
        <v>287</v>
      </c>
      <c r="C15" s="1">
        <v>8.575107245E9</v>
      </c>
      <c r="D15" s="1" t="s">
        <v>272</v>
      </c>
      <c r="E15" s="1">
        <v>2022.0</v>
      </c>
    </row>
    <row r="16">
      <c r="A16" s="1" t="s">
        <v>64</v>
      </c>
      <c r="B16" s="1" t="s">
        <v>285</v>
      </c>
      <c r="C16" s="1">
        <v>8.964684531E9</v>
      </c>
      <c r="D16" s="1" t="s">
        <v>272</v>
      </c>
      <c r="E16" s="1">
        <v>2015.0</v>
      </c>
    </row>
    <row r="17">
      <c r="A17" s="1" t="s">
        <v>69</v>
      </c>
      <c r="B17" s="1" t="s">
        <v>288</v>
      </c>
      <c r="C17" s="1">
        <v>8.527730428E9</v>
      </c>
      <c r="D17" s="1" t="s">
        <v>272</v>
      </c>
      <c r="E17" s="1">
        <v>2016.0</v>
      </c>
    </row>
    <row r="18">
      <c r="A18" s="1" t="s">
        <v>71</v>
      </c>
      <c r="B18" s="1" t="s">
        <v>289</v>
      </c>
      <c r="C18" s="1">
        <v>8.966279418E9</v>
      </c>
      <c r="D18" s="1" t="s">
        <v>272</v>
      </c>
      <c r="E18" s="1">
        <v>2025.0</v>
      </c>
    </row>
    <row r="19">
      <c r="A19" s="1" t="s">
        <v>73</v>
      </c>
      <c r="B19" s="1" t="s">
        <v>290</v>
      </c>
      <c r="C19" s="1">
        <v>8.968698256E9</v>
      </c>
      <c r="D19" s="1" t="s">
        <v>272</v>
      </c>
      <c r="E19" s="1">
        <v>2019.0</v>
      </c>
    </row>
    <row r="20">
      <c r="A20" s="1" t="s">
        <v>78</v>
      </c>
      <c r="B20" s="1" t="s">
        <v>291</v>
      </c>
      <c r="C20" s="1">
        <v>8.965408072E9</v>
      </c>
      <c r="D20" s="1" t="s">
        <v>274</v>
      </c>
      <c r="E20" s="1">
        <v>2021.0</v>
      </c>
    </row>
    <row r="21">
      <c r="A21" s="1" t="s">
        <v>80</v>
      </c>
      <c r="B21" s="1" t="s">
        <v>292</v>
      </c>
      <c r="C21" s="1">
        <v>8.537073292E9</v>
      </c>
      <c r="D21" s="1" t="s">
        <v>272</v>
      </c>
      <c r="E21" s="1">
        <v>2017.0</v>
      </c>
    </row>
    <row r="22">
      <c r="A22" s="1" t="s">
        <v>84</v>
      </c>
      <c r="B22" s="1" t="s">
        <v>293</v>
      </c>
      <c r="C22" s="1">
        <v>8.121790481E9</v>
      </c>
      <c r="D22" s="1" t="s">
        <v>272</v>
      </c>
      <c r="E22" s="1">
        <v>2017.0</v>
      </c>
    </row>
    <row r="23">
      <c r="A23" s="1" t="s">
        <v>86</v>
      </c>
      <c r="B23" s="1" t="s">
        <v>287</v>
      </c>
      <c r="C23" s="1">
        <v>8.968082668E9</v>
      </c>
      <c r="D23" s="1" t="s">
        <v>274</v>
      </c>
      <c r="E23" s="1">
        <v>2016.0</v>
      </c>
    </row>
    <row r="24">
      <c r="A24" s="1" t="s">
        <v>88</v>
      </c>
      <c r="B24" s="1" t="s">
        <v>294</v>
      </c>
      <c r="C24" s="1">
        <v>8.578852574E9</v>
      </c>
      <c r="D24" s="1" t="s">
        <v>274</v>
      </c>
      <c r="E24" s="1">
        <v>2019.0</v>
      </c>
    </row>
    <row r="25">
      <c r="A25" s="1" t="s">
        <v>90</v>
      </c>
      <c r="B25" s="1" t="s">
        <v>295</v>
      </c>
      <c r="C25" s="1">
        <v>8.962921859E9</v>
      </c>
      <c r="D25" s="1" t="s">
        <v>274</v>
      </c>
      <c r="E25" s="1">
        <v>2019.0</v>
      </c>
    </row>
    <row r="26">
      <c r="A26" s="1" t="s">
        <v>92</v>
      </c>
      <c r="B26" s="1" t="s">
        <v>279</v>
      </c>
      <c r="C26" s="1">
        <v>8.125924115E9</v>
      </c>
      <c r="D26" s="1" t="s">
        <v>280</v>
      </c>
      <c r="E26" s="1">
        <v>2017.0</v>
      </c>
    </row>
    <row r="27">
      <c r="A27" s="1" t="s">
        <v>94</v>
      </c>
      <c r="B27" s="1" t="s">
        <v>296</v>
      </c>
      <c r="C27" s="1">
        <v>8.965418934E9</v>
      </c>
      <c r="D27" s="1" t="s">
        <v>274</v>
      </c>
      <c r="E27" s="1">
        <v>2017.0</v>
      </c>
    </row>
    <row r="28">
      <c r="A28" s="1" t="s">
        <v>98</v>
      </c>
      <c r="B28" s="1" t="s">
        <v>297</v>
      </c>
      <c r="C28" s="1">
        <v>8.966007072E9</v>
      </c>
      <c r="D28" s="1" t="s">
        <v>274</v>
      </c>
      <c r="E28" s="1">
        <v>2024.0</v>
      </c>
    </row>
    <row r="29">
      <c r="A29" s="1" t="s">
        <v>100</v>
      </c>
      <c r="B29" s="1" t="s">
        <v>298</v>
      </c>
      <c r="C29" s="1">
        <v>8.523710343E9</v>
      </c>
      <c r="D29" s="1" t="s">
        <v>274</v>
      </c>
      <c r="E29" s="1">
        <v>2023.0</v>
      </c>
    </row>
    <row r="30">
      <c r="A30" s="1" t="s">
        <v>105</v>
      </c>
      <c r="B30" s="1" t="s">
        <v>299</v>
      </c>
      <c r="C30" s="1">
        <v>8.576438436E9</v>
      </c>
      <c r="D30" s="1" t="s">
        <v>280</v>
      </c>
      <c r="E30" s="1">
        <v>2015.0</v>
      </c>
    </row>
    <row r="31">
      <c r="A31" s="1" t="s">
        <v>104</v>
      </c>
      <c r="B31" s="1" t="s">
        <v>300</v>
      </c>
      <c r="C31" s="1">
        <v>8.525017343E9</v>
      </c>
      <c r="D31" s="1" t="s">
        <v>272</v>
      </c>
      <c r="E31" s="1">
        <v>2018.0</v>
      </c>
    </row>
    <row r="32">
      <c r="A32" s="1" t="s">
        <v>109</v>
      </c>
      <c r="B32" s="1" t="s">
        <v>292</v>
      </c>
      <c r="C32" s="1">
        <v>8.122437026E9</v>
      </c>
      <c r="D32" s="1" t="s">
        <v>280</v>
      </c>
      <c r="E32" s="1">
        <v>2016.0</v>
      </c>
    </row>
    <row r="33">
      <c r="A33" s="1" t="s">
        <v>112</v>
      </c>
      <c r="B33" s="1" t="s">
        <v>301</v>
      </c>
      <c r="C33" s="1">
        <v>8.133154051E9</v>
      </c>
      <c r="D33" s="1" t="s">
        <v>280</v>
      </c>
      <c r="E33" s="1">
        <v>2023.0</v>
      </c>
    </row>
    <row r="34">
      <c r="A34" s="1" t="s">
        <v>114</v>
      </c>
      <c r="B34" s="1" t="s">
        <v>302</v>
      </c>
      <c r="C34" s="1">
        <v>8.578099076E9</v>
      </c>
      <c r="D34" s="1" t="s">
        <v>272</v>
      </c>
      <c r="E34" s="1">
        <v>2023.0</v>
      </c>
    </row>
    <row r="35">
      <c r="A35" s="1" t="s">
        <v>116</v>
      </c>
      <c r="B35" s="1" t="s">
        <v>303</v>
      </c>
      <c r="C35" s="1">
        <v>8.966229731E9</v>
      </c>
      <c r="D35" s="1" t="s">
        <v>280</v>
      </c>
      <c r="E35" s="1">
        <v>2025.0</v>
      </c>
    </row>
    <row r="36">
      <c r="A36" s="1" t="s">
        <v>118</v>
      </c>
      <c r="B36" s="1" t="s">
        <v>304</v>
      </c>
      <c r="C36" s="1">
        <v>8.539683481E9</v>
      </c>
      <c r="D36" s="1" t="s">
        <v>280</v>
      </c>
      <c r="E36" s="1">
        <v>2016.0</v>
      </c>
    </row>
    <row r="37">
      <c r="A37" s="1" t="s">
        <v>66</v>
      </c>
      <c r="B37" s="1" t="s">
        <v>305</v>
      </c>
      <c r="C37" s="1">
        <v>8.126672134E9</v>
      </c>
      <c r="D37" s="1" t="s">
        <v>272</v>
      </c>
      <c r="E37" s="1">
        <v>2024.0</v>
      </c>
    </row>
    <row r="38">
      <c r="A38" s="1" t="s">
        <v>120</v>
      </c>
      <c r="B38" s="1" t="s">
        <v>306</v>
      </c>
      <c r="C38" s="1">
        <v>8.574694634E9</v>
      </c>
      <c r="D38" s="1" t="s">
        <v>272</v>
      </c>
      <c r="E38" s="1">
        <v>2016.0</v>
      </c>
    </row>
    <row r="39">
      <c r="A39" s="1" t="s">
        <v>122</v>
      </c>
      <c r="B39" s="1" t="s">
        <v>307</v>
      </c>
      <c r="C39" s="1">
        <v>8.132130789E9</v>
      </c>
      <c r="D39" s="1" t="s">
        <v>272</v>
      </c>
      <c r="E39" s="1">
        <v>2020.0</v>
      </c>
    </row>
    <row r="40">
      <c r="A40" s="1" t="s">
        <v>124</v>
      </c>
      <c r="B40" s="1" t="s">
        <v>308</v>
      </c>
      <c r="C40" s="1">
        <v>8.135672073E9</v>
      </c>
      <c r="D40" s="1" t="s">
        <v>280</v>
      </c>
      <c r="E40" s="1">
        <v>2018.0</v>
      </c>
    </row>
    <row r="41">
      <c r="A41" s="1" t="s">
        <v>126</v>
      </c>
      <c r="B41" s="1" t="s">
        <v>309</v>
      </c>
      <c r="C41" s="1">
        <v>8.968930103E9</v>
      </c>
      <c r="D41" s="1" t="s">
        <v>272</v>
      </c>
      <c r="E41" s="1">
        <v>2022.0</v>
      </c>
    </row>
    <row r="42">
      <c r="A42" s="1" t="s">
        <v>129</v>
      </c>
      <c r="B42" s="1" t="s">
        <v>310</v>
      </c>
      <c r="C42" s="1">
        <v>8.132582524E9</v>
      </c>
      <c r="D42" s="1" t="s">
        <v>272</v>
      </c>
      <c r="E42" s="1">
        <v>2025.0</v>
      </c>
    </row>
    <row r="43">
      <c r="A43" s="1" t="s">
        <v>131</v>
      </c>
      <c r="B43" s="1" t="s">
        <v>311</v>
      </c>
      <c r="C43" s="1">
        <v>8.537897151E9</v>
      </c>
      <c r="D43" s="1" t="s">
        <v>280</v>
      </c>
      <c r="E43" s="1">
        <v>2015.0</v>
      </c>
    </row>
    <row r="44">
      <c r="A44" s="1" t="s">
        <v>134</v>
      </c>
      <c r="B44" s="1" t="s">
        <v>312</v>
      </c>
      <c r="C44" s="1">
        <v>8.127754864E9</v>
      </c>
      <c r="D44" s="1" t="s">
        <v>272</v>
      </c>
      <c r="E44" s="1">
        <v>2016.0</v>
      </c>
    </row>
    <row r="45">
      <c r="A45" s="1" t="s">
        <v>137</v>
      </c>
      <c r="B45" s="1" t="s">
        <v>313</v>
      </c>
      <c r="C45" s="1">
        <v>8.139997381E9</v>
      </c>
      <c r="D45" s="1" t="s">
        <v>280</v>
      </c>
      <c r="E45" s="1">
        <v>2017.0</v>
      </c>
    </row>
    <row r="46">
      <c r="A46" s="1" t="s">
        <v>141</v>
      </c>
      <c r="B46" s="1" t="s">
        <v>314</v>
      </c>
      <c r="C46" s="1">
        <v>8.528761611E9</v>
      </c>
      <c r="D46" s="1" t="s">
        <v>272</v>
      </c>
      <c r="E46" s="1">
        <v>2016.0</v>
      </c>
    </row>
    <row r="47">
      <c r="A47" s="1" t="s">
        <v>143</v>
      </c>
      <c r="B47" s="1" t="s">
        <v>315</v>
      </c>
      <c r="C47" s="1">
        <v>8.121848731E9</v>
      </c>
      <c r="D47" s="1" t="s">
        <v>274</v>
      </c>
      <c r="E47" s="1">
        <v>2015.0</v>
      </c>
    </row>
    <row r="48">
      <c r="A48" s="1" t="s">
        <v>145</v>
      </c>
      <c r="B48" s="1" t="s">
        <v>316</v>
      </c>
      <c r="C48" s="1">
        <v>8.137818496E9</v>
      </c>
      <c r="D48" s="1" t="s">
        <v>280</v>
      </c>
      <c r="E48" s="1">
        <v>2022.0</v>
      </c>
    </row>
    <row r="49">
      <c r="A49" s="1" t="s">
        <v>147</v>
      </c>
      <c r="B49" s="1" t="s">
        <v>317</v>
      </c>
      <c r="C49" s="1">
        <v>8.123762152E9</v>
      </c>
      <c r="D49" s="1" t="s">
        <v>280</v>
      </c>
      <c r="E49" s="1">
        <v>2015.0</v>
      </c>
    </row>
    <row r="50">
      <c r="A50" s="1" t="s">
        <v>149</v>
      </c>
      <c r="B50" s="1" t="s">
        <v>285</v>
      </c>
      <c r="C50" s="1">
        <v>8.535785687E9</v>
      </c>
      <c r="D50" s="1" t="s">
        <v>280</v>
      </c>
      <c r="E50" s="1">
        <v>2023.0</v>
      </c>
    </row>
    <row r="51">
      <c r="A51" s="1" t="s">
        <v>21</v>
      </c>
      <c r="B51" s="1" t="s">
        <v>318</v>
      </c>
      <c r="C51" s="1">
        <v>8.134185957E9</v>
      </c>
      <c r="D51" s="1" t="s">
        <v>272</v>
      </c>
      <c r="E51" s="1">
        <v>2018.0</v>
      </c>
    </row>
    <row r="52">
      <c r="A52" s="1" t="s">
        <v>152</v>
      </c>
      <c r="B52" s="1" t="s">
        <v>319</v>
      </c>
      <c r="C52" s="1">
        <v>8.962022698E9</v>
      </c>
      <c r="D52" s="1" t="s">
        <v>272</v>
      </c>
      <c r="E52" s="1">
        <v>2015.0</v>
      </c>
    </row>
    <row r="53">
      <c r="A53" s="1" t="s">
        <v>154</v>
      </c>
      <c r="B53" s="1" t="s">
        <v>319</v>
      </c>
      <c r="C53" s="1">
        <v>8.539436429E9</v>
      </c>
      <c r="D53" s="1" t="s">
        <v>274</v>
      </c>
      <c r="E53" s="1">
        <v>2017.0</v>
      </c>
    </row>
    <row r="54">
      <c r="A54" s="1" t="s">
        <v>156</v>
      </c>
      <c r="B54" s="1" t="s">
        <v>320</v>
      </c>
      <c r="C54" s="1">
        <v>8.124117625E9</v>
      </c>
      <c r="D54" s="1" t="s">
        <v>272</v>
      </c>
      <c r="E54" s="1">
        <v>2024.0</v>
      </c>
    </row>
    <row r="55">
      <c r="A55" s="1" t="s">
        <v>158</v>
      </c>
      <c r="B55" s="1" t="s">
        <v>316</v>
      </c>
      <c r="C55" s="1">
        <v>8.533011363E9</v>
      </c>
      <c r="D55" s="1" t="s">
        <v>274</v>
      </c>
      <c r="E55" s="1">
        <v>2018.0</v>
      </c>
    </row>
    <row r="56">
      <c r="A56" s="1" t="s">
        <v>161</v>
      </c>
      <c r="B56" s="1" t="s">
        <v>321</v>
      </c>
      <c r="C56" s="1">
        <v>8.122375453E9</v>
      </c>
      <c r="D56" s="1" t="s">
        <v>280</v>
      </c>
      <c r="E56" s="1">
        <v>2025.0</v>
      </c>
    </row>
    <row r="57">
      <c r="A57" s="1" t="s">
        <v>163</v>
      </c>
      <c r="B57" s="1" t="s">
        <v>322</v>
      </c>
      <c r="C57" s="1">
        <v>8.576307805E9</v>
      </c>
      <c r="D57" s="1" t="s">
        <v>272</v>
      </c>
      <c r="E57" s="1">
        <v>2018.0</v>
      </c>
    </row>
    <row r="58">
      <c r="A58" s="1" t="s">
        <v>165</v>
      </c>
      <c r="B58" s="1" t="s">
        <v>323</v>
      </c>
      <c r="C58" s="1">
        <v>8.135456272E9</v>
      </c>
      <c r="D58" s="1" t="s">
        <v>280</v>
      </c>
      <c r="E58" s="1">
        <v>2017.0</v>
      </c>
    </row>
    <row r="59">
      <c r="A59" s="1" t="s">
        <v>167</v>
      </c>
      <c r="B59" s="1" t="s">
        <v>324</v>
      </c>
      <c r="C59" s="1">
        <v>8.536304573E9</v>
      </c>
      <c r="D59" s="1" t="s">
        <v>272</v>
      </c>
      <c r="E59" s="1">
        <v>2015.0</v>
      </c>
    </row>
    <row r="60">
      <c r="A60" s="1" t="s">
        <v>169</v>
      </c>
      <c r="B60" s="1" t="s">
        <v>325</v>
      </c>
      <c r="C60" s="1">
        <v>8.572677407E9</v>
      </c>
      <c r="D60" s="1" t="s">
        <v>272</v>
      </c>
      <c r="E60" s="1">
        <v>2023.0</v>
      </c>
    </row>
    <row r="61">
      <c r="A61" s="1" t="s">
        <v>172</v>
      </c>
      <c r="B61" s="1" t="s">
        <v>326</v>
      </c>
      <c r="C61" s="1">
        <v>8.523222252E9</v>
      </c>
      <c r="D61" s="1" t="s">
        <v>272</v>
      </c>
      <c r="E61" s="1">
        <v>2016.0</v>
      </c>
    </row>
    <row r="62">
      <c r="A62" s="1" t="s">
        <v>174</v>
      </c>
      <c r="B62" s="1" t="s">
        <v>327</v>
      </c>
      <c r="C62" s="1">
        <v>8.525781295E9</v>
      </c>
      <c r="D62" s="1" t="s">
        <v>272</v>
      </c>
      <c r="E62" s="1">
        <v>2022.0</v>
      </c>
    </row>
    <row r="63">
      <c r="A63" s="1" t="s">
        <v>75</v>
      </c>
      <c r="B63" s="1" t="s">
        <v>328</v>
      </c>
      <c r="C63" s="1">
        <v>8.966075395E9</v>
      </c>
      <c r="D63" s="1" t="s">
        <v>274</v>
      </c>
      <c r="E63" s="1">
        <v>2025.0</v>
      </c>
    </row>
    <row r="64">
      <c r="A64" s="1" t="s">
        <v>176</v>
      </c>
      <c r="B64" s="1" t="s">
        <v>329</v>
      </c>
      <c r="C64" s="1">
        <v>8.966022741E9</v>
      </c>
      <c r="D64" s="1" t="s">
        <v>272</v>
      </c>
      <c r="E64" s="1">
        <v>2017.0</v>
      </c>
    </row>
    <row r="65">
      <c r="A65" s="1" t="s">
        <v>179</v>
      </c>
      <c r="B65" s="1" t="s">
        <v>330</v>
      </c>
      <c r="C65" s="1">
        <v>8.123607983E9</v>
      </c>
      <c r="D65" s="1" t="s">
        <v>272</v>
      </c>
      <c r="E65" s="1">
        <v>2019.0</v>
      </c>
    </row>
    <row r="66">
      <c r="A66" s="1" t="s">
        <v>181</v>
      </c>
      <c r="B66" s="1" t="s">
        <v>331</v>
      </c>
      <c r="C66" s="1">
        <v>8.966752576E9</v>
      </c>
      <c r="D66" s="1" t="s">
        <v>272</v>
      </c>
      <c r="E66" s="1">
        <v>2025.0</v>
      </c>
    </row>
    <row r="67">
      <c r="A67" s="1" t="s">
        <v>183</v>
      </c>
      <c r="B67" s="1" t="s">
        <v>332</v>
      </c>
      <c r="C67" s="1">
        <v>8.579196204E9</v>
      </c>
      <c r="D67" s="1" t="s">
        <v>272</v>
      </c>
      <c r="E67" s="1">
        <v>2015.0</v>
      </c>
    </row>
    <row r="68">
      <c r="A68" s="1" t="s">
        <v>185</v>
      </c>
      <c r="B68" s="1" t="s">
        <v>333</v>
      </c>
      <c r="C68" s="1">
        <v>8.521739653E9</v>
      </c>
      <c r="D68" s="1" t="s">
        <v>272</v>
      </c>
      <c r="E68" s="1">
        <v>2020.0</v>
      </c>
    </row>
    <row r="69">
      <c r="A69" s="1" t="s">
        <v>188</v>
      </c>
      <c r="B69" s="1" t="s">
        <v>334</v>
      </c>
      <c r="C69" s="1">
        <v>8.96539488E9</v>
      </c>
      <c r="D69" s="1" t="s">
        <v>272</v>
      </c>
      <c r="E69" s="1">
        <v>2022.0</v>
      </c>
    </row>
    <row r="70">
      <c r="A70" s="1" t="s">
        <v>190</v>
      </c>
      <c r="B70" s="1" t="s">
        <v>335</v>
      </c>
      <c r="C70" s="1">
        <v>8.57116223E9</v>
      </c>
      <c r="D70" s="1" t="s">
        <v>272</v>
      </c>
      <c r="E70" s="1">
        <v>2016.0</v>
      </c>
    </row>
    <row r="71">
      <c r="A71" s="1" t="s">
        <v>192</v>
      </c>
      <c r="B71" s="1" t="s">
        <v>336</v>
      </c>
      <c r="C71" s="1">
        <v>8.571604451E9</v>
      </c>
      <c r="D71" s="1" t="s">
        <v>272</v>
      </c>
      <c r="E71" s="1">
        <v>2024.0</v>
      </c>
    </row>
    <row r="72">
      <c r="A72" s="1" t="s">
        <v>195</v>
      </c>
      <c r="B72" s="1" t="s">
        <v>309</v>
      </c>
      <c r="C72" s="1">
        <v>8.533138181E9</v>
      </c>
      <c r="D72" s="1" t="s">
        <v>272</v>
      </c>
      <c r="E72" s="1">
        <v>2019.0</v>
      </c>
    </row>
    <row r="73">
      <c r="A73" s="1" t="s">
        <v>196</v>
      </c>
      <c r="B73" s="1" t="s">
        <v>337</v>
      </c>
      <c r="C73" s="1">
        <v>8.524524499E9</v>
      </c>
      <c r="D73" s="1" t="s">
        <v>272</v>
      </c>
      <c r="E73" s="1">
        <v>2025.0</v>
      </c>
    </row>
    <row r="74">
      <c r="A74" s="1" t="s">
        <v>198</v>
      </c>
      <c r="B74" s="1" t="s">
        <v>300</v>
      </c>
      <c r="C74" s="1">
        <v>8.577817881E9</v>
      </c>
      <c r="D74" s="1" t="s">
        <v>274</v>
      </c>
      <c r="E74" s="1">
        <v>2017.0</v>
      </c>
    </row>
    <row r="75">
      <c r="A75" s="1" t="s">
        <v>200</v>
      </c>
      <c r="B75" s="1" t="s">
        <v>338</v>
      </c>
      <c r="C75" s="1">
        <v>8.133970445E9</v>
      </c>
      <c r="D75" s="1" t="s">
        <v>280</v>
      </c>
      <c r="E75" s="1">
        <v>2015.0</v>
      </c>
    </row>
    <row r="76">
      <c r="A76" s="1" t="s">
        <v>202</v>
      </c>
      <c r="B76" s="1" t="s">
        <v>339</v>
      </c>
      <c r="C76" s="1">
        <v>8.535163555E9</v>
      </c>
      <c r="D76" s="1" t="s">
        <v>272</v>
      </c>
      <c r="E76" s="1">
        <v>2017.0</v>
      </c>
    </row>
    <row r="77">
      <c r="A77" s="1" t="s">
        <v>204</v>
      </c>
      <c r="B77" s="1" t="s">
        <v>340</v>
      </c>
      <c r="C77" s="1">
        <v>8.531649691E9</v>
      </c>
      <c r="D77" s="1" t="s">
        <v>280</v>
      </c>
      <c r="E77" s="1">
        <v>2018.0</v>
      </c>
    </row>
    <row r="78">
      <c r="A78" s="1" t="s">
        <v>207</v>
      </c>
      <c r="B78" s="1" t="s">
        <v>341</v>
      </c>
      <c r="C78" s="1">
        <v>8.526120253E9</v>
      </c>
      <c r="D78" s="1" t="s">
        <v>272</v>
      </c>
      <c r="E78" s="1">
        <v>2018.0</v>
      </c>
    </row>
    <row r="79">
      <c r="A79" s="1" t="s">
        <v>209</v>
      </c>
      <c r="B79" s="1" t="s">
        <v>342</v>
      </c>
      <c r="C79" s="1">
        <v>8.536507321E9</v>
      </c>
      <c r="D79" s="1" t="s">
        <v>272</v>
      </c>
      <c r="E79" s="1">
        <v>2016.0</v>
      </c>
    </row>
    <row r="80">
      <c r="A80" s="1" t="s">
        <v>96</v>
      </c>
      <c r="B80" s="1" t="s">
        <v>343</v>
      </c>
      <c r="C80" s="1">
        <v>8.529546409E9</v>
      </c>
      <c r="D80" s="1" t="s">
        <v>280</v>
      </c>
      <c r="E80" s="1">
        <v>2025.0</v>
      </c>
    </row>
    <row r="81">
      <c r="A81" s="1" t="s">
        <v>212</v>
      </c>
      <c r="B81" s="1" t="s">
        <v>328</v>
      </c>
      <c r="C81" s="1">
        <v>8.52146306E9</v>
      </c>
      <c r="D81" s="1" t="s">
        <v>272</v>
      </c>
      <c r="E81" s="1">
        <v>2019.0</v>
      </c>
    </row>
    <row r="82">
      <c r="A82" s="1" t="s">
        <v>16</v>
      </c>
      <c r="B82" s="1" t="s">
        <v>344</v>
      </c>
      <c r="C82" s="1">
        <v>8.521641849E9</v>
      </c>
      <c r="D82" s="1" t="s">
        <v>272</v>
      </c>
      <c r="E82" s="1">
        <v>2024.0</v>
      </c>
    </row>
    <row r="83">
      <c r="A83" s="1" t="s">
        <v>214</v>
      </c>
      <c r="B83" s="1" t="s">
        <v>311</v>
      </c>
      <c r="C83" s="1">
        <v>8.966262632E9</v>
      </c>
      <c r="D83" s="1" t="s">
        <v>280</v>
      </c>
      <c r="E83" s="1">
        <v>2024.0</v>
      </c>
    </row>
    <row r="84">
      <c r="A84" s="1" t="s">
        <v>110</v>
      </c>
      <c r="B84" s="1" t="s">
        <v>297</v>
      </c>
      <c r="C84" s="1">
        <v>8.534188992E9</v>
      </c>
      <c r="D84" s="1" t="s">
        <v>272</v>
      </c>
      <c r="E84" s="1">
        <v>2015.0</v>
      </c>
    </row>
    <row r="85">
      <c r="A85" s="1" t="s">
        <v>220</v>
      </c>
      <c r="B85" s="1" t="s">
        <v>278</v>
      </c>
      <c r="C85" s="1">
        <v>8.129722815E9</v>
      </c>
      <c r="D85" s="1" t="s">
        <v>274</v>
      </c>
      <c r="E85" s="1">
        <v>2025.0</v>
      </c>
    </row>
    <row r="86">
      <c r="A86" s="1" t="s">
        <v>224</v>
      </c>
      <c r="B86" s="1" t="s">
        <v>345</v>
      </c>
      <c r="C86" s="1">
        <v>8.528235969E9</v>
      </c>
      <c r="D86" s="1" t="s">
        <v>272</v>
      </c>
      <c r="E86" s="1">
        <v>2025.0</v>
      </c>
    </row>
    <row r="87">
      <c r="A87" s="1" t="s">
        <v>50</v>
      </c>
      <c r="B87" s="1" t="s">
        <v>346</v>
      </c>
      <c r="C87" s="1">
        <v>8.57626663E9</v>
      </c>
      <c r="D87" s="1" t="s">
        <v>272</v>
      </c>
      <c r="E87" s="1">
        <v>2019.0</v>
      </c>
    </row>
    <row r="88">
      <c r="A88" s="1" t="s">
        <v>135</v>
      </c>
      <c r="B88" s="1" t="s">
        <v>347</v>
      </c>
      <c r="C88" s="1">
        <v>8.967851696E9</v>
      </c>
      <c r="D88" s="1" t="s">
        <v>272</v>
      </c>
      <c r="E88" s="1">
        <v>2021.0</v>
      </c>
    </row>
    <row r="89">
      <c r="A89" s="1" t="s">
        <v>230</v>
      </c>
      <c r="B89" s="1" t="s">
        <v>348</v>
      </c>
      <c r="C89" s="1">
        <v>8.573135534E9</v>
      </c>
      <c r="D89" s="1" t="s">
        <v>272</v>
      </c>
      <c r="E89" s="1">
        <v>2021.0</v>
      </c>
    </row>
    <row r="90">
      <c r="A90" s="1" t="s">
        <v>237</v>
      </c>
      <c r="B90" s="1" t="s">
        <v>349</v>
      </c>
      <c r="C90" s="1">
        <v>8.963919694E9</v>
      </c>
      <c r="D90" s="1" t="s">
        <v>274</v>
      </c>
      <c r="E90" s="1">
        <v>2024.0</v>
      </c>
    </row>
    <row r="91">
      <c r="A91" s="1" t="s">
        <v>239</v>
      </c>
      <c r="B91" s="1" t="s">
        <v>350</v>
      </c>
      <c r="C91" s="1">
        <v>8.57100681E9</v>
      </c>
      <c r="D91" s="1" t="s">
        <v>272</v>
      </c>
      <c r="E91" s="1">
        <v>2019.0</v>
      </c>
    </row>
    <row r="92">
      <c r="A92" s="1" t="s">
        <v>241</v>
      </c>
      <c r="B92" s="1" t="s">
        <v>351</v>
      </c>
      <c r="C92" s="1">
        <v>8.576406444E9</v>
      </c>
      <c r="D92" s="1" t="s">
        <v>280</v>
      </c>
      <c r="E92" s="1">
        <v>2022.0</v>
      </c>
    </row>
    <row r="93">
      <c r="A93" s="1" t="s">
        <v>243</v>
      </c>
      <c r="B93" s="1" t="s">
        <v>352</v>
      </c>
      <c r="C93" s="1">
        <v>8.578938746E9</v>
      </c>
      <c r="D93" s="1" t="s">
        <v>272</v>
      </c>
      <c r="E93" s="1">
        <v>2025.0</v>
      </c>
    </row>
    <row r="94">
      <c r="A94" s="1" t="s">
        <v>246</v>
      </c>
      <c r="B94" s="1" t="s">
        <v>353</v>
      </c>
      <c r="C94" s="1">
        <v>8.576623525E9</v>
      </c>
      <c r="D94" s="1" t="s">
        <v>272</v>
      </c>
      <c r="E94" s="1">
        <v>2018.0</v>
      </c>
    </row>
    <row r="95">
      <c r="A95" s="1" t="s">
        <v>250</v>
      </c>
      <c r="B95" s="1" t="s">
        <v>324</v>
      </c>
      <c r="C95" s="1">
        <v>8.134340845E9</v>
      </c>
      <c r="D95" s="1" t="s">
        <v>272</v>
      </c>
      <c r="E95" s="1">
        <v>2015.0</v>
      </c>
    </row>
    <row r="96">
      <c r="A96" s="1" t="s">
        <v>253</v>
      </c>
      <c r="B96" s="1" t="s">
        <v>354</v>
      </c>
      <c r="C96" s="1">
        <v>8.532221854E9</v>
      </c>
      <c r="D96" s="1" t="s">
        <v>280</v>
      </c>
      <c r="E96" s="1">
        <v>2021.0</v>
      </c>
    </row>
    <row r="97">
      <c r="A97" s="1" t="s">
        <v>234</v>
      </c>
      <c r="B97" s="1" t="s">
        <v>292</v>
      </c>
      <c r="C97" s="1">
        <v>8.137442089E9</v>
      </c>
      <c r="D97" s="1" t="s">
        <v>280</v>
      </c>
      <c r="E97" s="1">
        <v>2021.0</v>
      </c>
    </row>
    <row r="98">
      <c r="A98" s="1" t="s">
        <v>256</v>
      </c>
      <c r="B98" s="1" t="s">
        <v>355</v>
      </c>
      <c r="C98" s="1">
        <v>8.961093026E9</v>
      </c>
      <c r="D98" s="1" t="s">
        <v>272</v>
      </c>
      <c r="E98" s="1">
        <v>2021.0</v>
      </c>
    </row>
    <row r="99">
      <c r="A99" s="1" t="s">
        <v>258</v>
      </c>
      <c r="B99" s="1" t="s">
        <v>356</v>
      </c>
      <c r="C99" s="1">
        <v>8.969689889E9</v>
      </c>
      <c r="D99" s="1" t="s">
        <v>280</v>
      </c>
      <c r="E99" s="1">
        <v>2015.0</v>
      </c>
    </row>
    <row r="100">
      <c r="A100" s="1" t="s">
        <v>261</v>
      </c>
      <c r="B100" s="1" t="s">
        <v>306</v>
      </c>
      <c r="C100" s="1">
        <v>8.128658158E9</v>
      </c>
      <c r="D100" s="1" t="s">
        <v>272</v>
      </c>
      <c r="E100" s="1">
        <v>2022.0</v>
      </c>
    </row>
    <row r="101">
      <c r="A101" s="1" t="s">
        <v>264</v>
      </c>
      <c r="B101" s="1" t="s">
        <v>357</v>
      </c>
      <c r="C101" s="1">
        <v>8.576323376E9</v>
      </c>
      <c r="D101" s="1" t="s">
        <v>280</v>
      </c>
      <c r="E101" s="1">
        <v>2024.0</v>
      </c>
    </row>
    <row r="102">
      <c r="A102" s="1" t="s">
        <v>247</v>
      </c>
      <c r="B102" s="1" t="s">
        <v>358</v>
      </c>
      <c r="C102" s="1">
        <v>8.538481188E9</v>
      </c>
      <c r="D102" s="1" t="s">
        <v>272</v>
      </c>
      <c r="E102" s="1">
        <v>2022.0</v>
      </c>
    </row>
    <row r="103">
      <c r="A103" s="1" t="s">
        <v>222</v>
      </c>
      <c r="B103" s="1" t="s">
        <v>359</v>
      </c>
      <c r="C103" s="1">
        <v>8.135652512E9</v>
      </c>
      <c r="D103" s="1" t="s">
        <v>274</v>
      </c>
      <c r="E103" s="1">
        <v>2022.0</v>
      </c>
    </row>
    <row r="104">
      <c r="A104" s="1" t="s">
        <v>251</v>
      </c>
      <c r="B104" s="1" t="s">
        <v>360</v>
      </c>
      <c r="C104" s="1">
        <v>8.528379837E9</v>
      </c>
      <c r="D104" s="1" t="s">
        <v>272</v>
      </c>
      <c r="E104" s="1">
        <v>2019.0</v>
      </c>
    </row>
  </sheetData>
  <drawing r:id="rId1"/>
</worksheet>
</file>